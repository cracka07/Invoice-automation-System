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filterPrivacy="1" codeName="ThisWorkbook"/>
  <xr:revisionPtr revIDLastSave="0" documentId="13_ncr:1_{7E06D590-EFC0-443F-A7ED-A781B8B9902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indInvoice" sheetId="6" r:id="rId1"/>
    <sheet name="Invoice" sheetId="1" r:id="rId2"/>
    <sheet name="Invoice Detail" sheetId="4" r:id="rId3"/>
    <sheet name="Customers" sheetId="2" r:id="rId4"/>
    <sheet name="Product" sheetId="3" r:id="rId5"/>
    <sheet name="Pt-Invoice Analysis" sheetId="5" r:id="rId6"/>
  </sheets>
  <functionGroups builtInGroupCount="19"/>
  <definedNames>
    <definedName name="btCustomer" localSheetId="0">FindInvoice!$B$7</definedName>
    <definedName name="btCustomer">Invoice!$B$7</definedName>
    <definedName name="ColumnTitle1" localSheetId="0">tblInvoice6[[#Headers],[CODE]]</definedName>
    <definedName name="ColumnTitle1">tblInvoice[[#Headers],[CODE]]</definedName>
    <definedName name="ColumnTitleRegion1..B11.1" localSheetId="0">FindInvoice!$B$6</definedName>
    <definedName name="ColumnTitleRegion1..B11.1">Invoice!$B$6</definedName>
    <definedName name="Company_Name" localSheetId="0">FindInvoice!$B$1</definedName>
    <definedName name="Company_Name">Invoice!$B$1</definedName>
    <definedName name="_xlnm.Print_Titles" localSheetId="0">FindInvoice!$12:$12</definedName>
    <definedName name="_xlnm.Print_Titles" localSheetId="1">Invoice!$12:$12</definedName>
    <definedName name="RowTitleRegion1..D5" localSheetId="0">FindInvoice!$C$3</definedName>
    <definedName name="RowTitleRegion1..D5">Invoice!$C$3</definedName>
  </definedNames>
  <calcPr calcId="191029"/>
  <pivotCaches>
    <pivotCache cacheId="2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" i="6" l="1"/>
  <c r="B7" i="6"/>
  <c r="C13" i="1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13" i="6"/>
  <c r="B14" i="6"/>
  <c r="C14" i="6" s="1"/>
  <c r="B15" i="6"/>
  <c r="C15" i="6" s="1"/>
  <c r="B16" i="6"/>
  <c r="C16" i="6" s="1"/>
  <c r="B17" i="6"/>
  <c r="C17" i="6" s="1"/>
  <c r="B18" i="6"/>
  <c r="C18" i="6" s="1"/>
  <c r="B19" i="6"/>
  <c r="C19" i="6" s="1"/>
  <c r="B20" i="6"/>
  <c r="C20" i="6" s="1"/>
  <c r="B21" i="6"/>
  <c r="C21" i="6" s="1"/>
  <c r="B22" i="6"/>
  <c r="C22" i="6" s="1"/>
  <c r="B23" i="6"/>
  <c r="C23" i="6" s="1"/>
  <c r="B24" i="6"/>
  <c r="C24" i="6" s="1"/>
  <c r="B25" i="6"/>
  <c r="C25" i="6" s="1"/>
  <c r="B26" i="6"/>
  <c r="C26" i="6" s="1"/>
  <c r="B27" i="6"/>
  <c r="C27" i="6" s="1"/>
  <c r="B13" i="6"/>
  <c r="C13" i="6" s="1"/>
  <c r="E21" i="6" l="1"/>
  <c r="E27" i="6"/>
  <c r="E26" i="6"/>
  <c r="E25" i="6"/>
  <c r="E24" i="6"/>
  <c r="E19" i="6"/>
  <c r="E18" i="6"/>
  <c r="E17" i="6"/>
  <c r="E22" i="6"/>
  <c r="E13" i="6"/>
  <c r="E20" i="6"/>
  <c r="E16" i="6"/>
  <c r="E23" i="6"/>
  <c r="E15" i="6"/>
  <c r="B10" i="6"/>
  <c r="E14" i="6"/>
  <c r="B30" i="6"/>
  <c r="E3" i="6"/>
  <c r="C14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E27" i="1"/>
  <c r="E26" i="1"/>
  <c r="E25" i="1"/>
  <c r="E24" i="1"/>
  <c r="E23" i="1"/>
  <c r="E22" i="1"/>
  <c r="E21" i="1"/>
  <c r="E20" i="1"/>
  <c r="E19" i="1"/>
  <c r="B10" i="1"/>
  <c r="B11" i="1"/>
  <c r="B9" i="1"/>
  <c r="E13" i="1"/>
  <c r="E14" i="1"/>
  <c r="E15" i="1"/>
  <c r="E16" i="1"/>
  <c r="E17" i="1"/>
  <c r="E18" i="1"/>
  <c r="B8" i="1"/>
  <c r="B30" i="1"/>
  <c r="B9" i="6" l="1"/>
  <c r="B8" i="6"/>
  <c r="B11" i="6"/>
  <c r="E28" i="6"/>
  <c r="E28" i="1"/>
  <c r="E3" i="1"/>
  <c r="E29" i="6" a="1"/>
  <c r="E2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<sst xmlns="http://schemas.openxmlformats.org/spreadsheetml/2006/main" count="637" uniqueCount="484">
  <si>
    <t>INVOICE</t>
  </si>
  <si>
    <t>DATE:</t>
  </si>
  <si>
    <t>INVOICE #</t>
  </si>
  <si>
    <t>Bill To:</t>
  </si>
  <si>
    <t>Name</t>
  </si>
  <si>
    <t>Phone</t>
  </si>
  <si>
    <t>DESCRIPTION</t>
  </si>
  <si>
    <t>AMOUNT</t>
  </si>
  <si>
    <t>TOTAL</t>
  </si>
  <si>
    <t>Project or service description</t>
  </si>
  <si>
    <t>Company Name</t>
  </si>
  <si>
    <t>FOR:</t>
  </si>
  <si>
    <t xml:space="preserve">THANK YOU FOR YOUR BUSINESS! </t>
  </si>
  <si>
    <t>If you have any questions concerning this invoice, Contact Name, Phone Number, E-mail</t>
  </si>
  <si>
    <t>CODE</t>
  </si>
  <si>
    <t>QUANTITY</t>
  </si>
  <si>
    <t>TechNova Solutions LLC</t>
  </si>
  <si>
    <t>Innovating Your Business Future</t>
  </si>
  <si>
    <t>1234 Market Street</t>
  </si>
  <si>
    <t>San Francisco, CA 94103</t>
  </si>
  <si>
    <t>Phone: (415) 555-7890 Fax: (415) 555-7891</t>
  </si>
  <si>
    <t>Address</t>
  </si>
  <si>
    <t>City</t>
  </si>
  <si>
    <t>State ZIP</t>
  </si>
  <si>
    <t>Matthew Young</t>
  </si>
  <si>
    <t>Smith Corp</t>
  </si>
  <si>
    <t>8051 Main St</t>
  </si>
  <si>
    <t>Denver</t>
  </si>
  <si>
    <t>CO 98999</t>
  </si>
  <si>
    <t>(555) 661-6365</t>
  </si>
  <si>
    <t>Mark Green</t>
  </si>
  <si>
    <t>Brown Industries</t>
  </si>
  <si>
    <t>1794 Main St</t>
  </si>
  <si>
    <t>Miami</t>
  </si>
  <si>
    <t>FL 52603</t>
  </si>
  <si>
    <t>(555) 890-9069</t>
  </si>
  <si>
    <t>John Brown</t>
  </si>
  <si>
    <t>Johnson Tech</t>
  </si>
  <si>
    <t>6567 Main St</t>
  </si>
  <si>
    <t>Seattle</t>
  </si>
  <si>
    <t>WA 48249</t>
  </si>
  <si>
    <t>(555) 625-8576</t>
  </si>
  <si>
    <t>Anthony Martinez</t>
  </si>
  <si>
    <t>Young Consulting</t>
  </si>
  <si>
    <t>4909 Main St</t>
  </si>
  <si>
    <t>Los Angeles</t>
  </si>
  <si>
    <t>CA 87650</t>
  </si>
  <si>
    <t>(555) 480-9068</t>
  </si>
  <si>
    <t>Sandra Taylor</t>
  </si>
  <si>
    <t>Brown Services</t>
  </si>
  <si>
    <t>3528 Main St</t>
  </si>
  <si>
    <t>CA 85046</t>
  </si>
  <si>
    <t>(555) 764-7631</t>
  </si>
  <si>
    <t>Linda Smith</t>
  </si>
  <si>
    <t>Brown Solutions</t>
  </si>
  <si>
    <t>8926 Main St</t>
  </si>
  <si>
    <t>Phoenix</t>
  </si>
  <si>
    <t>AZ 59203</t>
  </si>
  <si>
    <t>(555) 692-4107</t>
  </si>
  <si>
    <t>Nancy Green</t>
  </si>
  <si>
    <t>Johnson Solutions</t>
  </si>
  <si>
    <t>1657 Main St</t>
  </si>
  <si>
    <t>Chicago</t>
  </si>
  <si>
    <t>IL 29600</t>
  </si>
  <si>
    <t>(555) 348-8180</t>
  </si>
  <si>
    <t>Mark Hall</t>
  </si>
  <si>
    <t>Green Corp</t>
  </si>
  <si>
    <t>5286 Main St</t>
  </si>
  <si>
    <t>Atlanta</t>
  </si>
  <si>
    <t>GA 48794</t>
  </si>
  <si>
    <t>(555) 976-5190</t>
  </si>
  <si>
    <t>Paul King</t>
  </si>
  <si>
    <t>Wilson Logistics</t>
  </si>
  <si>
    <t>4122 Main St</t>
  </si>
  <si>
    <t>CA 39628</t>
  </si>
  <si>
    <t>(555) 776-2022</t>
  </si>
  <si>
    <t>Karen Thomas</t>
  </si>
  <si>
    <t>Moore Corp</t>
  </si>
  <si>
    <t>3479 Main St</t>
  </si>
  <si>
    <t>WA 12200</t>
  </si>
  <si>
    <t>(555) 355-5476</t>
  </si>
  <si>
    <t>John King</t>
  </si>
  <si>
    <t>Clark Consulting</t>
  </si>
  <si>
    <t>5395 Main St</t>
  </si>
  <si>
    <t>WA 48508</t>
  </si>
  <si>
    <t>(555) 327-7837</t>
  </si>
  <si>
    <t>Anthony Lewis</t>
  </si>
  <si>
    <t>Allen Retail Group</t>
  </si>
  <si>
    <t>6319 Main St</t>
  </si>
  <si>
    <t>Boston</t>
  </si>
  <si>
    <t>MA 96212</t>
  </si>
  <si>
    <t>(555) 634-3821</t>
  </si>
  <si>
    <t>John Allen</t>
  </si>
  <si>
    <t>Green Services</t>
  </si>
  <si>
    <t>3798 Main St</t>
  </si>
  <si>
    <t>IL 42713</t>
  </si>
  <si>
    <t>(555) 725-6212</t>
  </si>
  <si>
    <t>Jessica Davis</t>
  </si>
  <si>
    <t>Moore Tech</t>
  </si>
  <si>
    <t>1032 Main St</t>
  </si>
  <si>
    <t>GA 30516</t>
  </si>
  <si>
    <t>(555) 540-3378</t>
  </si>
  <si>
    <t>John Davis</t>
  </si>
  <si>
    <t>Lewis Solutions</t>
  </si>
  <si>
    <t>9972 Main St</t>
  </si>
  <si>
    <t>WA 40835</t>
  </si>
  <si>
    <t>(555) 693-9879</t>
  </si>
  <si>
    <t>Linda Wright</t>
  </si>
  <si>
    <t>Lewis Industries</t>
  </si>
  <si>
    <t>1663 Main St</t>
  </si>
  <si>
    <t>FL 77676</t>
  </si>
  <si>
    <t>(555) 198-9869</t>
  </si>
  <si>
    <t>Daniel Green</t>
  </si>
  <si>
    <t>Smith Industries</t>
  </si>
  <si>
    <t>5269 Main St</t>
  </si>
  <si>
    <t>GA 79728</t>
  </si>
  <si>
    <t>(555) 371-2493</t>
  </si>
  <si>
    <t>Clark Tech</t>
  </si>
  <si>
    <t>9173 Main St</t>
  </si>
  <si>
    <t>Dallas</t>
  </si>
  <si>
    <t>TX 42949</t>
  </si>
  <si>
    <t>(555) 362-3705</t>
  </si>
  <si>
    <t>Mark Moore</t>
  </si>
  <si>
    <t>Green Industries</t>
  </si>
  <si>
    <t>8376 Main St</t>
  </si>
  <si>
    <t>MA 85486</t>
  </si>
  <si>
    <t>(555) 396-3554</t>
  </si>
  <si>
    <t>Laura Wilson</t>
  </si>
  <si>
    <t>Wright Services</t>
  </si>
  <si>
    <t>2116 Main St</t>
  </si>
  <si>
    <t>FL 79688</t>
  </si>
  <si>
    <t>(555) 937-1797</t>
  </si>
  <si>
    <t>Walker Consulting</t>
  </si>
  <si>
    <t>6830 Main St</t>
  </si>
  <si>
    <t>FL 21859</t>
  </si>
  <si>
    <t>(555) 888-1463</t>
  </si>
  <si>
    <t>Patricia Taylor</t>
  </si>
  <si>
    <t>Thomas Industries</t>
  </si>
  <si>
    <t>1101 Main St</t>
  </si>
  <si>
    <t>WA 57779</t>
  </si>
  <si>
    <t>(555) 148-7959</t>
  </si>
  <si>
    <t>Anthony Taylor</t>
  </si>
  <si>
    <t>Scott Industries</t>
  </si>
  <si>
    <t>9069 Main St</t>
  </si>
  <si>
    <t>WA 97787</t>
  </si>
  <si>
    <t>(555) 380-1744</t>
  </si>
  <si>
    <t>Michael Scott</t>
  </si>
  <si>
    <t>Wright Enterprises</t>
  </si>
  <si>
    <t>494 Main St</t>
  </si>
  <si>
    <t>CO 78751</t>
  </si>
  <si>
    <t>(555) 730-8481</t>
  </si>
  <si>
    <t>Matthew Martinez</t>
  </si>
  <si>
    <t>Hall Consulting</t>
  </si>
  <si>
    <t>2349 Main St</t>
  </si>
  <si>
    <t>CA 83122</t>
  </si>
  <si>
    <t>(555) 694-1159</t>
  </si>
  <si>
    <t>Daniel Lewis</t>
  </si>
  <si>
    <t>Moore Industries</t>
  </si>
  <si>
    <t>125 Main St</t>
  </si>
  <si>
    <t>GA 50179</t>
  </si>
  <si>
    <t>(555) 882-5224</t>
  </si>
  <si>
    <t>Patricia Martinez</t>
  </si>
  <si>
    <t>Moore Services</t>
  </si>
  <si>
    <t>172 Main St</t>
  </si>
  <si>
    <t>CA 34090</t>
  </si>
  <si>
    <t>(555) 434-3493</t>
  </si>
  <si>
    <t>Mark Davis</t>
  </si>
  <si>
    <t>Wilson Retail Group</t>
  </si>
  <si>
    <t>907 Main St</t>
  </si>
  <si>
    <t>Houston</t>
  </si>
  <si>
    <t>TX 56171</t>
  </si>
  <si>
    <t>(555) 414-2571</t>
  </si>
  <si>
    <t>Paul Wright</t>
  </si>
  <si>
    <t>1562 Main St</t>
  </si>
  <si>
    <t>TX 12383</t>
  </si>
  <si>
    <t>(555) 802-1400</t>
  </si>
  <si>
    <t>Michael Thomas</t>
  </si>
  <si>
    <t>Hall Holdings</t>
  </si>
  <si>
    <t>2090 Main St</t>
  </si>
  <si>
    <t>WA 44461</t>
  </si>
  <si>
    <t>(555) 328-7890</t>
  </si>
  <si>
    <t>James Taylor</t>
  </si>
  <si>
    <t>Lewis Tech</t>
  </si>
  <si>
    <t>5908 Main St</t>
  </si>
  <si>
    <t>WA 66696</t>
  </si>
  <si>
    <t>(555) 471-8060</t>
  </si>
  <si>
    <t>Linda Scott</t>
  </si>
  <si>
    <t>Davis Solutions</t>
  </si>
  <si>
    <t>2548 Main St</t>
  </si>
  <si>
    <t>WA 76604</t>
  </si>
  <si>
    <t>(555) 310-7898</t>
  </si>
  <si>
    <t>Hall Tech</t>
  </si>
  <si>
    <t>9954 Main St</t>
  </si>
  <si>
    <t>FL 78035</t>
  </si>
  <si>
    <t>(555) 432-7770</t>
  </si>
  <si>
    <t>Jessica Anderson</t>
  </si>
  <si>
    <t>Young Services</t>
  </si>
  <si>
    <t>3268 Main St</t>
  </si>
  <si>
    <t>AZ 97187</t>
  </si>
  <si>
    <t>(555) 482-3118</t>
  </si>
  <si>
    <t>Nancy Scott</t>
  </si>
  <si>
    <t>Martinez Industries</t>
  </si>
  <si>
    <t>1174 Main St</t>
  </si>
  <si>
    <t>TX 23810</t>
  </si>
  <si>
    <t>(555) 172-4096</t>
  </si>
  <si>
    <t>James Scott</t>
  </si>
  <si>
    <t>Lewis Services</t>
  </si>
  <si>
    <t>5380 Main St</t>
  </si>
  <si>
    <t>TX 66782</t>
  </si>
  <si>
    <t>(555) 551-1869</t>
  </si>
  <si>
    <t>John Wilson</t>
  </si>
  <si>
    <t>Moore Holdings</t>
  </si>
  <si>
    <t>5812 Main St</t>
  </si>
  <si>
    <t>CA 34979</t>
  </si>
  <si>
    <t>(555) 294-6418</t>
  </si>
  <si>
    <t>Sandra Moore</t>
  </si>
  <si>
    <t>7893 Main St</t>
  </si>
  <si>
    <t>AZ 13875</t>
  </si>
  <si>
    <t>(555) 522-5528</t>
  </si>
  <si>
    <t>Jessica Clark</t>
  </si>
  <si>
    <t>4403 Main St</t>
  </si>
  <si>
    <t>WA 44297</t>
  </si>
  <si>
    <t>(555) 720-7120</t>
  </si>
  <si>
    <t>Sarah Wright</t>
  </si>
  <si>
    <t>Johnson Holdings</t>
  </si>
  <si>
    <t>211 Main St</t>
  </si>
  <si>
    <t>CO 60892</t>
  </si>
  <si>
    <t>(555) 210-9186</t>
  </si>
  <si>
    <t>Thomas Tech</t>
  </si>
  <si>
    <t>1302 Main St</t>
  </si>
  <si>
    <t>WA 86102</t>
  </si>
  <si>
    <t>(555) 806-4292</t>
  </si>
  <si>
    <t>Martinez Holdings</t>
  </si>
  <si>
    <t>5384 Main St</t>
  </si>
  <si>
    <t>AZ 82552</t>
  </si>
  <si>
    <t>(555) 533-9542</t>
  </si>
  <si>
    <t>Daniel Wright</t>
  </si>
  <si>
    <t>Brown Consulting</t>
  </si>
  <si>
    <t>6644 Main St</t>
  </si>
  <si>
    <t>FL 13822</t>
  </si>
  <si>
    <t>(555) 646-2850</t>
  </si>
  <si>
    <t>Nancy Johnson</t>
  </si>
  <si>
    <t>Taylor Enterprises</t>
  </si>
  <si>
    <t>6996 Main St</t>
  </si>
  <si>
    <t>WA 31073</t>
  </si>
  <si>
    <t>(555) 869-8286</t>
  </si>
  <si>
    <t>Laura Allen</t>
  </si>
  <si>
    <t>Johnson Services</t>
  </si>
  <si>
    <t>722 Main St</t>
  </si>
  <si>
    <t>AZ 38789</t>
  </si>
  <si>
    <t>(555) 306-5900</t>
  </si>
  <si>
    <t>King Enterprises</t>
  </si>
  <si>
    <t>1947 Main St</t>
  </si>
  <si>
    <t>TX 41908</t>
  </si>
  <si>
    <t>(555) 909-8580</t>
  </si>
  <si>
    <t>Michael Hall</t>
  </si>
  <si>
    <t>Scott Solutions</t>
  </si>
  <si>
    <t>5272 Main St</t>
  </si>
  <si>
    <t>FL 19742</t>
  </si>
  <si>
    <t>(555) 922-4359</t>
  </si>
  <si>
    <t>James Martinez</t>
  </si>
  <si>
    <t>Green Solutions</t>
  </si>
  <si>
    <t>1916 Main St</t>
  </si>
  <si>
    <t>CO 16267</t>
  </si>
  <si>
    <t>(555) 991-6269</t>
  </si>
  <si>
    <t>Jessica Smith</t>
  </si>
  <si>
    <t>Davis Logistics</t>
  </si>
  <si>
    <t>2004 Main St</t>
  </si>
  <si>
    <t>CA 78509</t>
  </si>
  <si>
    <t>(555) 864-2905</t>
  </si>
  <si>
    <t>Emily Allen</t>
  </si>
  <si>
    <t>7785 Main St</t>
  </si>
  <si>
    <t>WA 90325</t>
  </si>
  <si>
    <t>(555) 698-8260</t>
  </si>
  <si>
    <t>Emily Johnson</t>
  </si>
  <si>
    <t>Anderson Logistics</t>
  </si>
  <si>
    <t>179 Main St</t>
  </si>
  <si>
    <t>CA 28499</t>
  </si>
  <si>
    <t>(555) 290-9727</t>
  </si>
  <si>
    <t>Paul Thomas</t>
  </si>
  <si>
    <t>Wilson Tech</t>
  </si>
  <si>
    <t>9876 Main St</t>
  </si>
  <si>
    <t>TX 11600</t>
  </si>
  <si>
    <t>(555) 316-3221</t>
  </si>
  <si>
    <t>Matthew King</t>
  </si>
  <si>
    <t>Wilson Industries</t>
  </si>
  <si>
    <t>4241 Main St</t>
  </si>
  <si>
    <t>TX 30672</t>
  </si>
  <si>
    <t>(555) 798-7677</t>
  </si>
  <si>
    <t>James Wilson</t>
  </si>
  <si>
    <t>Davis Services</t>
  </si>
  <si>
    <t>5085 Main St</t>
  </si>
  <si>
    <t>MA 93831</t>
  </si>
  <si>
    <t>(555) 506-6536</t>
  </si>
  <si>
    <t>Matthew Walker</t>
  </si>
  <si>
    <t>Walker Corp</t>
  </si>
  <si>
    <t>5886 Main St</t>
  </si>
  <si>
    <t>IL 94248</t>
  </si>
  <si>
    <t>(555) 287-9430</t>
  </si>
  <si>
    <t>Patricia King</t>
  </si>
  <si>
    <t>6111 Main St</t>
  </si>
  <si>
    <t>CA 61729</t>
  </si>
  <si>
    <t>(555) 357-9890</t>
  </si>
  <si>
    <t>Daniel Anderson</t>
  </si>
  <si>
    <t>Anderson Corp</t>
  </si>
  <si>
    <t>8014 Main St</t>
  </si>
  <si>
    <t>TX 92767</t>
  </si>
  <si>
    <t>(555) 179-7906</t>
  </si>
  <si>
    <t>Laura King</t>
  </si>
  <si>
    <t>Martinez Consulting</t>
  </si>
  <si>
    <t>3548 Main St</t>
  </si>
  <si>
    <t>TX 36404</t>
  </si>
  <si>
    <t>(555) 365-1107</t>
  </si>
  <si>
    <t>Green Tech</t>
  </si>
  <si>
    <t>4831 Main St</t>
  </si>
  <si>
    <t>TX 27265</t>
  </si>
  <si>
    <t>(555) 510-8221</t>
  </si>
  <si>
    <t>James Moore</t>
  </si>
  <si>
    <t>Young Tech</t>
  </si>
  <si>
    <t>9037 Main St</t>
  </si>
  <si>
    <t>TX 17659</t>
  </si>
  <si>
    <t>(555) 622-4824</t>
  </si>
  <si>
    <t>Nancy Walker</t>
  </si>
  <si>
    <t>Smith Retail Group</t>
  </si>
  <si>
    <t>9130 Main St</t>
  </si>
  <si>
    <t>WA 17087</t>
  </si>
  <si>
    <t>(555) 746-3252</t>
  </si>
  <si>
    <t>Matthew Wright</t>
  </si>
  <si>
    <t>9989 Main St</t>
  </si>
  <si>
    <t>CA 39193</t>
  </si>
  <si>
    <t>(555) 676-6420</t>
  </si>
  <si>
    <t>Linda Clark</t>
  </si>
  <si>
    <t>Davis Enterprises</t>
  </si>
  <si>
    <t>3863 Main St</t>
  </si>
  <si>
    <t>FL 88054</t>
  </si>
  <si>
    <t>(555) 626-6730</t>
  </si>
  <si>
    <t>Mark Johnson</t>
  </si>
  <si>
    <t>Johnson Enterprises</t>
  </si>
  <si>
    <t>2569 Main St</t>
  </si>
  <si>
    <t>FL 63422</t>
  </si>
  <si>
    <t>(555) 701-2429</t>
  </si>
  <si>
    <t>Mark Scott</t>
  </si>
  <si>
    <t>Young Solutions</t>
  </si>
  <si>
    <t>5949 Main St</t>
  </si>
  <si>
    <t>IL 17558</t>
  </si>
  <si>
    <t>(555) 230-7508</t>
  </si>
  <si>
    <t>Sarah Anderson</t>
  </si>
  <si>
    <t>Taylor Solutions</t>
  </si>
  <si>
    <t>9802 Main St</t>
  </si>
  <si>
    <t>TX 48698</t>
  </si>
  <si>
    <t>(555) 540-7126</t>
  </si>
  <si>
    <t>Code</t>
  </si>
  <si>
    <t>Description</t>
  </si>
  <si>
    <t>Unit Price</t>
  </si>
  <si>
    <t>P001</t>
  </si>
  <si>
    <t>Laptop Eco</t>
  </si>
  <si>
    <t>P002</t>
  </si>
  <si>
    <t>Chair Ultra</t>
  </si>
  <si>
    <t>P003</t>
  </si>
  <si>
    <t>Printer Max</t>
  </si>
  <si>
    <t>P004</t>
  </si>
  <si>
    <t>Mouse Prime</t>
  </si>
  <si>
    <t>P005</t>
  </si>
  <si>
    <t>Monitor Pro</t>
  </si>
  <si>
    <t>P006</t>
  </si>
  <si>
    <t>Laptop Advanced</t>
  </si>
  <si>
    <t>P007</t>
  </si>
  <si>
    <t>Laptop X</t>
  </si>
  <si>
    <t>P008</t>
  </si>
  <si>
    <t>Mouse Max</t>
  </si>
  <si>
    <t>P009</t>
  </si>
  <si>
    <t>Printer Ultra</t>
  </si>
  <si>
    <t>P010</t>
  </si>
  <si>
    <t>Mouse Elite</t>
  </si>
  <si>
    <t>P011</t>
  </si>
  <si>
    <t>Desk Elite</t>
  </si>
  <si>
    <t>P012</t>
  </si>
  <si>
    <t>Printer Advanced</t>
  </si>
  <si>
    <t>P013</t>
  </si>
  <si>
    <t>Printer Smart</t>
  </si>
  <si>
    <t>P014</t>
  </si>
  <si>
    <t>Desk Prime</t>
  </si>
  <si>
    <t>P015</t>
  </si>
  <si>
    <t>Mouse Advanced</t>
  </si>
  <si>
    <t>P016</t>
  </si>
  <si>
    <t>Tablet Ultra</t>
  </si>
  <si>
    <t>P017</t>
  </si>
  <si>
    <t>Tablet Prime</t>
  </si>
  <si>
    <t>P018</t>
  </si>
  <si>
    <t>P019</t>
  </si>
  <si>
    <t>Laptop Prime</t>
  </si>
  <si>
    <t>P020</t>
  </si>
  <si>
    <t>P021</t>
  </si>
  <si>
    <t>Headset Eco</t>
  </si>
  <si>
    <t>P022</t>
  </si>
  <si>
    <t>Tablet Eco</t>
  </si>
  <si>
    <t>P023</t>
  </si>
  <si>
    <t>Phone Smart</t>
  </si>
  <si>
    <t>P024</t>
  </si>
  <si>
    <t>Phone Plus</t>
  </si>
  <si>
    <t>P025</t>
  </si>
  <si>
    <t>P026</t>
  </si>
  <si>
    <t>Mouse Eco</t>
  </si>
  <si>
    <t>P027</t>
  </si>
  <si>
    <t>Keyboard Smart</t>
  </si>
  <si>
    <t>P028</t>
  </si>
  <si>
    <t>P029</t>
  </si>
  <si>
    <t>P030</t>
  </si>
  <si>
    <t>P031</t>
  </si>
  <si>
    <t>Tablet Pro</t>
  </si>
  <si>
    <t>P032</t>
  </si>
  <si>
    <t>Tablet Advanced</t>
  </si>
  <si>
    <t>P033</t>
  </si>
  <si>
    <t>Headset Ultra</t>
  </si>
  <si>
    <t>P034</t>
  </si>
  <si>
    <t>Printer X</t>
  </si>
  <si>
    <t>P035</t>
  </si>
  <si>
    <t>Mouse X</t>
  </si>
  <si>
    <t>P036</t>
  </si>
  <si>
    <t>Headset Max</t>
  </si>
  <si>
    <t>P037</t>
  </si>
  <si>
    <t>Printer Pro</t>
  </si>
  <si>
    <t>P038</t>
  </si>
  <si>
    <t>Desk Smart</t>
  </si>
  <si>
    <t>P039</t>
  </si>
  <si>
    <t>Phone Pro</t>
  </si>
  <si>
    <t>P040</t>
  </si>
  <si>
    <t>Phone Ultra</t>
  </si>
  <si>
    <t>P041</t>
  </si>
  <si>
    <t>P042</t>
  </si>
  <si>
    <t>Keyboard Max</t>
  </si>
  <si>
    <t>P043</t>
  </si>
  <si>
    <t>Chair Prime</t>
  </si>
  <si>
    <t>P044</t>
  </si>
  <si>
    <t>P045</t>
  </si>
  <si>
    <t>P046</t>
  </si>
  <si>
    <t>Tablet Smart</t>
  </si>
  <si>
    <t>P047</t>
  </si>
  <si>
    <t>P048</t>
  </si>
  <si>
    <t>Chair Eco</t>
  </si>
  <si>
    <t>P049</t>
  </si>
  <si>
    <t>Laptop Elite</t>
  </si>
  <si>
    <t>P050</t>
  </si>
  <si>
    <t>Mouse Ultra</t>
  </si>
  <si>
    <t>P051</t>
  </si>
  <si>
    <t>P052</t>
  </si>
  <si>
    <t>P053</t>
  </si>
  <si>
    <t>P054</t>
  </si>
  <si>
    <t>Headset Elite</t>
  </si>
  <si>
    <t>P055</t>
  </si>
  <si>
    <t>P056</t>
  </si>
  <si>
    <t>Monitor Plus</t>
  </si>
  <si>
    <t>P057</t>
  </si>
  <si>
    <t>Chair Plus</t>
  </si>
  <si>
    <t>P058</t>
  </si>
  <si>
    <t>P059</t>
  </si>
  <si>
    <t>Mouse Pro</t>
  </si>
  <si>
    <t>P060</t>
  </si>
  <si>
    <t>P061</t>
  </si>
  <si>
    <t>Phone X</t>
  </si>
  <si>
    <t>P062</t>
  </si>
  <si>
    <t>Headset Plus</t>
  </si>
  <si>
    <t>P063</t>
  </si>
  <si>
    <t>Laptop Ultra</t>
  </si>
  <si>
    <t>P064</t>
  </si>
  <si>
    <t>Chair Elite</t>
  </si>
  <si>
    <t>P065</t>
  </si>
  <si>
    <t>P066</t>
  </si>
  <si>
    <t>Consecutive</t>
  </si>
  <si>
    <t>Billed to</t>
  </si>
  <si>
    <t>Date</t>
  </si>
  <si>
    <t>Quantity</t>
  </si>
  <si>
    <t>Amount</t>
  </si>
  <si>
    <t>Nombre Archivo</t>
  </si>
  <si>
    <t>C:\Users\maria\Documents\Invoice\Invoice -1.pdf</t>
  </si>
  <si>
    <t>C:\Users\maria\Documents\Invoice\Invoice -2.pdf</t>
  </si>
  <si>
    <t>C:\Users\maria\Documents\Invoice\Invoice -3.pdf</t>
  </si>
  <si>
    <t>C:\Users\maria\Documents\Invoice\Invoice -4.pdf</t>
  </si>
  <si>
    <t>C:\Users\maria\Documents\Invoice\Invoice -5.pdf</t>
  </si>
  <si>
    <t>C:\Users\maria\Documents\Invoice\Invoice -6.pdf</t>
  </si>
  <si>
    <t>C:\Users\maria\Documents\Invoice\Invoice -7.pdf</t>
  </si>
  <si>
    <t>C:\Users\maria\Documents\Invoice\Invoice -8.pdf</t>
  </si>
  <si>
    <t>C:\Users\maria\Documents\Invoice\Invoice -9.pdf</t>
  </si>
  <si>
    <t>If you have any questions concerning this invoice, Contact Name, Phone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</si>
</sst>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$&quot;* #,##0.00_);_(&quot;$&quot;* \(#,##0.00\);_(&quot;$&quot;* &quot;-&quot;??_);_(@_)"/>
    <numFmt numFmtId="165" formatCode="[$-409]mmmm\ d\,\ yyyy;@"/>
    <numFmt numFmtId="166" formatCode="[&lt;=9999999]###\-####;\(###\)\ ###\-####"/>
  </numFmts>
  <fonts count="13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color theme="0"/>
      <name val="Arial"/>
      <family val="2"/>
      <scheme val="minor"/>
    </font>
    <font>
      <sz val="8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6">
    <xf numFmtId="0" fontId="0" fillId="0" borderId="0">
      <alignment wrapText="1"/>
    </xf>
    <xf numFmtId="165" fontId="4" fillId="0" borderId="0" applyFont="0" applyFill="0" applyBorder="0">
      <alignment horizontal="right"/>
    </xf>
    <xf numFmtId="164" fontId="4" fillId="0" borderId="0" applyFont="0" applyFill="0" applyBorder="0" applyProtection="0">
      <alignment horizontal="right" vertical="center"/>
    </xf>
    <xf numFmtId="0" fontId="3" fillId="0" borderId="0" applyNumberFormat="0" applyFill="0" applyBorder="0" applyProtection="0">
      <alignment horizontal="right"/>
    </xf>
    <xf numFmtId="0" fontId="6" fillId="0" borderId="0" applyNumberFormat="0" applyFill="0" applyProtection="0"/>
    <xf numFmtId="0" fontId="7" fillId="0" borderId="0" applyNumberFormat="0" applyFill="0" applyProtection="0">
      <alignment vertical="top" wrapText="1"/>
    </xf>
    <xf numFmtId="0" fontId="9" fillId="0" borderId="0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Protection="0">
      <alignment horizontal="center"/>
    </xf>
    <xf numFmtId="164" fontId="5" fillId="0" borderId="0" applyProtection="0">
      <alignment horizontal="right" vertical="center"/>
    </xf>
    <xf numFmtId="0" fontId="4" fillId="0" borderId="0" applyNumberFormat="0" applyFont="0" applyFill="0" applyBorder="0">
      <alignment horizontal="right" wrapText="1"/>
    </xf>
    <xf numFmtId="166" fontId="4" fillId="0" borderId="0" applyFont="0" applyFill="0" applyBorder="0">
      <alignment horizontal="left" vertical="top"/>
    </xf>
    <xf numFmtId="0" fontId="4" fillId="0" borderId="0" applyFont="0" applyFill="0" applyBorder="0">
      <alignment horizontal="right" vertical="top" wrapText="1"/>
    </xf>
    <xf numFmtId="0" fontId="4" fillId="0" borderId="0" applyFont="0" applyFill="0" applyBorder="0">
      <alignment vertical="center" wrapText="1"/>
    </xf>
    <xf numFmtId="0" fontId="10" fillId="3" borderId="2" applyNumberFormat="0" applyAlignment="0" applyProtection="0"/>
    <xf numFmtId="0" fontId="1" fillId="0" borderId="0"/>
  </cellStyleXfs>
  <cellXfs count="38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6" fillId="0" borderId="0" xfId="4"/>
    <xf numFmtId="0" fontId="9" fillId="0" borderId="0" xfId="6"/>
    <xf numFmtId="165" fontId="0" fillId="0" borderId="0" xfId="10" applyNumberFormat="1" applyFont="1">
      <alignment horizontal="right" wrapText="1"/>
    </xf>
    <xf numFmtId="0" fontId="0" fillId="0" borderId="0" xfId="10" applyFont="1">
      <alignment horizontal="right" wrapText="1"/>
    </xf>
    <xf numFmtId="166" fontId="0" fillId="0" borderId="0" xfId="11" applyFont="1">
      <alignment horizontal="left" vertical="top"/>
    </xf>
    <xf numFmtId="164" fontId="0" fillId="0" borderId="0" xfId="2" applyFont="1">
      <alignment horizontal="right" vertical="center"/>
    </xf>
    <xf numFmtId="164" fontId="5" fillId="0" borderId="0" xfId="9">
      <alignment horizontal="right" vertical="center"/>
    </xf>
    <xf numFmtId="0" fontId="0" fillId="0" borderId="0" xfId="13" applyFont="1">
      <alignment vertical="center" wrapText="1"/>
    </xf>
    <xf numFmtId="0" fontId="9" fillId="0" borderId="0" xfId="12" applyFont="1">
      <alignment horizontal="right" vertical="top" wrapText="1"/>
    </xf>
    <xf numFmtId="0" fontId="9" fillId="0" borderId="0" xfId="10" applyFont="1">
      <alignment horizontal="right" wrapText="1"/>
    </xf>
    <xf numFmtId="0" fontId="8" fillId="0" borderId="0" xfId="12" applyFont="1">
      <alignment horizontal="right" vertical="top" wrapText="1"/>
    </xf>
    <xf numFmtId="0" fontId="0" fillId="0" borderId="0" xfId="0">
      <alignment wrapText="1"/>
    </xf>
    <xf numFmtId="164" fontId="2" fillId="0" borderId="0" xfId="2" applyFont="1" applyFill="1" applyBorder="1">
      <alignment horizontal="right" vertical="center"/>
    </xf>
    <xf numFmtId="0" fontId="0" fillId="0" borderId="3" xfId="13" applyFont="1" applyBorder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0" xfId="0" applyBorder="1">
      <alignment wrapText="1"/>
    </xf>
    <xf numFmtId="0" fontId="0" fillId="0" borderId="0" xfId="0" applyAlignment="1">
      <alignment horizontal="center" wrapText="1"/>
    </xf>
    <xf numFmtId="0" fontId="3" fillId="0" borderId="0" xfId="3" applyAlignment="1"/>
    <xf numFmtId="0" fontId="7" fillId="0" borderId="0" xfId="5" applyAlignment="1">
      <alignment vertical="top"/>
    </xf>
    <xf numFmtId="0" fontId="0" fillId="0" borderId="0" xfId="0" applyAlignment="1"/>
    <xf numFmtId="0" fontId="1" fillId="0" borderId="0" xfId="15"/>
    <xf numFmtId="0" fontId="1" fillId="0" borderId="0" xfId="15" applyFill="1"/>
    <xf numFmtId="0" fontId="11" fillId="0" borderId="0" xfId="15" applyFont="1"/>
    <xf numFmtId="0" fontId="0" fillId="0" borderId="0" xfId="13" applyFont="1" applyAlignment="1">
      <alignment horizontal="center" vertical="center" wrapText="1"/>
    </xf>
    <xf numFmtId="14" fontId="0" fillId="0" borderId="0" xfId="0" applyNumberFormat="1">
      <alignment wrapText="1"/>
    </xf>
    <xf numFmtId="0" fontId="0" fillId="0" borderId="0" xfId="13" applyNumberFormat="1" applyFont="1">
      <alignment vertical="center" wrapText="1"/>
    </xf>
    <xf numFmtId="164" fontId="0" fillId="0" borderId="0" xfId="2" applyNumberFormat="1" applyFont="1">
      <alignment horizontal="right" vertical="center"/>
    </xf>
    <xf numFmtId="164" fontId="5" fillId="0" borderId="0" xfId="0" applyNumberFormat="1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0" fillId="0" borderId="0" xfId="0" pivotButton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>
      <alignment wrapText="1"/>
    </xf>
    <xf numFmtId="0" fontId="3" fillId="0" borderId="0" xfId="3" applyAlignment="1">
      <alignment horizontal="right"/>
    </xf>
    <xf numFmtId="0" fontId="0" fillId="0" borderId="0" xfId="0">
      <alignment wrapText="1"/>
    </xf>
    <xf numFmtId="0" fontId="9" fillId="0" borderId="0" xfId="8">
      <alignment horizontal="center"/>
    </xf>
  </cellXfs>
  <cellStyles count="16">
    <cellStyle name="Currency" xfId="2" builtinId="4" customBuiltin="1"/>
    <cellStyle name="Date" xfId="1" xr:uid="{00000000-0005-0000-0000-000001000000}"/>
    <cellStyle name="Description" xfId="13" xr:uid="{00000000-0005-0000-0000-000002000000}"/>
    <cellStyle name="Explanatory Text" xfId="8" builtinId="53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4" builtinId="20" customBuiltin="1"/>
    <cellStyle name="Normal" xfId="0" builtinId="0" customBuiltin="1"/>
    <cellStyle name="Normal 2" xfId="15" xr:uid="{27421FBC-D00F-43A9-A902-2DA01A750F4E}"/>
    <cellStyle name="Phone" xfId="11" xr:uid="{00000000-0005-0000-0000-00000A000000}"/>
    <cellStyle name="Right Aligned" xfId="10" xr:uid="{00000000-0005-0000-0000-00000B000000}"/>
    <cellStyle name="Title" xfId="3" builtinId="15" customBuiltin="1"/>
    <cellStyle name="Top Aligned" xfId="12" xr:uid="{00000000-0005-0000-0000-00000D000000}"/>
    <cellStyle name="Total" xfId="9" builtinId="25" customBuiltin="1"/>
  </cellStyles>
  <dxfs count="2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minor"/>
      </font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0_);_(&quot;$&quot;* \(#,##0.00\);_(&quot;$&quot;* &quot;-&quot;??_);_(@_)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0_);_(&quot;$&quot;* \(#,##0.00\);_(&quot;$&quot;* &quot;-&quot;??_);_(@_)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Invoice that calculates total" defaultPivotStyle="PivotStyleLight16">
    <tableStyle name="Invoice that calculates total" pivot="0" count="7" xr9:uid="{00000000-0011-0000-FFFF-FFFF00000000}">
      <tableStyleElement type="wholeTable" dxfId="25"/>
      <tableStyleElement type="headerRow" dxfId="24"/>
      <tableStyleElement type="totalRow" dxfId="23"/>
      <tableStyleElement type="lastColumn" dxfId="22"/>
      <tableStyleElement type="secondColumnStripe" dxfId="21"/>
      <tableStyleElement type="lastHeaderCell" dxfId="20"/>
      <tableStyleElement type="lastTotalCell" dxfId="1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0</xdr:row>
      <xdr:rowOff>400050</xdr:rowOff>
    </xdr:from>
    <xdr:to>
      <xdr:col>4</xdr:col>
      <xdr:colOff>1200150</xdr:colOff>
      <xdr:row>2</xdr:row>
      <xdr:rowOff>85725</xdr:rowOff>
    </xdr:to>
    <xdr:sp macro="[0]!Find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7AC807-C614-4DB6-9B88-CA73F640CC5F}"/>
            </a:ext>
          </a:extLst>
        </xdr:cNvPr>
        <xdr:cNvSpPr/>
      </xdr:nvSpPr>
      <xdr:spPr bwMode="auto">
        <a:xfrm>
          <a:off x="5743575" y="400050"/>
          <a:ext cx="1781175" cy="504825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6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Find Invoice</a:t>
          </a:r>
        </a:p>
      </xdr:txBody>
    </xdr:sp>
    <xdr:clientData fPrintsWithSheet="0"/>
  </xdr:twoCellAnchor>
  <xdr:twoCellAnchor>
    <xdr:from>
      <xdr:col>3</xdr:col>
      <xdr:colOff>628650</xdr:colOff>
      <xdr:row>5</xdr:row>
      <xdr:rowOff>190500</xdr:rowOff>
    </xdr:from>
    <xdr:to>
      <xdr:col>4</xdr:col>
      <xdr:colOff>1266825</xdr:colOff>
      <xdr:row>7</xdr:row>
      <xdr:rowOff>114300</xdr:rowOff>
    </xdr:to>
    <xdr:sp macro="[0]!SendEmai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7D8743B-DB3E-4974-816C-AE2E5B829A77}"/>
            </a:ext>
          </a:extLst>
        </xdr:cNvPr>
        <xdr:cNvSpPr/>
      </xdr:nvSpPr>
      <xdr:spPr bwMode="auto">
        <a:xfrm>
          <a:off x="5781675" y="1962150"/>
          <a:ext cx="1809750" cy="495300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600">
              <a:solidFill>
                <a:schemeClr val="bg1"/>
              </a:solidFill>
            </a:rPr>
            <a:t>Email</a:t>
          </a:r>
          <a:r>
            <a:rPr lang="es-ES" sz="1600" baseline="0">
              <a:solidFill>
                <a:schemeClr val="bg1"/>
              </a:solidFill>
            </a:rPr>
            <a:t> Invoice</a:t>
          </a:r>
          <a:endParaRPr lang="es-ES" sz="160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3562350</xdr:colOff>
      <xdr:row>0</xdr:row>
      <xdr:rowOff>419101</xdr:rowOff>
    </xdr:from>
    <xdr:to>
      <xdr:col>4</xdr:col>
      <xdr:colOff>866775</xdr:colOff>
      <xdr:row>2</xdr:row>
      <xdr:rowOff>142875</xdr:rowOff>
    </xdr:to>
    <xdr:sp macro="[0]!SaveInvoic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049F0D3-05D9-4F16-AAC0-7ED800E7A11A}"/>
            </a:ext>
          </a:extLst>
        </xdr:cNvPr>
        <xdr:cNvSpPr/>
      </xdr:nvSpPr>
      <xdr:spPr bwMode="auto">
        <a:xfrm>
          <a:off x="4962525" y="419101"/>
          <a:ext cx="1905000" cy="542924"/>
        </a:xfrm>
        <a:prstGeom prst="roundRect">
          <a:avLst>
            <a:gd name="adj" fmla="val 50000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s-ES" sz="1600">
              <a:solidFill>
                <a:schemeClr val="bg1"/>
              </a:solidFill>
            </a:rPr>
            <a:t>Save &amp;</a:t>
          </a:r>
          <a:r>
            <a:rPr lang="es-ES" sz="1600" baseline="0">
              <a:solidFill>
                <a:schemeClr val="bg1"/>
              </a:solidFill>
            </a:rPr>
            <a:t> Print </a:t>
          </a:r>
          <a:endParaRPr lang="es-ES" sz="1600">
            <a:solidFill>
              <a:schemeClr val="bg1"/>
            </a:solidFill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06.501330324078" createdVersion="7" refreshedVersion="8" minRefreshableVersion="3" recordCount="13" xr:uid="{BD2C9B5C-B988-49CB-B4FB-B4D58FE24828}">
  <cacheSource type="worksheet">
    <worksheetSource name="tblDetail"/>
  </cacheSource>
  <cacheFields count="8">
    <cacheField name="Date" numFmtId="14">
      <sharedItems containsSemiMixedTypes="0" containsNonDate="0" containsDate="1" containsString="0" minDate="2026-03-22T00:00:00" maxDate="2026-03-26T00:00:00"/>
    </cacheField>
    <cacheField name="Consecutive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Billed to" numFmtId="0">
      <sharedItems/>
    </cacheField>
    <cacheField name="Code" numFmtId="0">
      <sharedItems count="13">
        <s v="P002"/>
        <s v="P005"/>
        <s v="P007"/>
        <s v="P015"/>
        <s v="P021"/>
        <s v="P004"/>
        <s v="P013"/>
        <s v="P027"/>
        <s v="P033"/>
        <s v="P003"/>
        <s v="P014"/>
        <s v="P024"/>
        <s v="P016"/>
      </sharedItems>
    </cacheField>
    <cacheField name="Description" numFmtId="0">
      <sharedItems/>
    </cacheField>
    <cacheField name="Quantity" numFmtId="0">
      <sharedItems containsSemiMixedTypes="0" containsString="0" containsNumber="1" containsInteger="1" minValue="2" maxValue="55" count="8">
        <n v="22"/>
        <n v="2"/>
        <n v="11"/>
        <n v="44"/>
        <n v="21"/>
        <n v="3"/>
        <n v="12"/>
        <n v="55"/>
      </sharedItems>
    </cacheField>
    <cacheField name="Amount" numFmtId="0">
      <sharedItems containsSemiMixedTypes="0" containsString="0" containsNumber="1" minValue="1249.1399999999999" maxValue="63088.52"/>
    </cacheField>
    <cacheField name="Nombre Archiv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d v="2026-03-22T00:00:00"/>
    <x v="0"/>
    <s v="Matthew Young"/>
    <x v="0"/>
    <s v="Chair Ultra"/>
    <x v="0"/>
    <n v="21848.639999999999"/>
    <s v="C:\Users\maria\Documents\Invoice\Invoice -1.pdf"/>
  </r>
  <r>
    <d v="2026-03-22T00:00:00"/>
    <x v="1"/>
    <s v="John Brown"/>
    <x v="1"/>
    <s v="Monitor Pro"/>
    <x v="1"/>
    <n v="2467.7199999999998"/>
    <s v="C:\Users\maria\Documents\Invoice\Invoice -2.pdf"/>
  </r>
  <r>
    <d v="2026-03-22T00:00:00"/>
    <x v="1"/>
    <s v="John Brown"/>
    <x v="2"/>
    <s v="Laptop X"/>
    <x v="2"/>
    <n v="6357.34"/>
    <s v="C:\Users\maria\Documents\Invoice\Invoice -2.pdf"/>
  </r>
  <r>
    <d v="2026-03-22T00:00:00"/>
    <x v="2"/>
    <s v="Mark Hall"/>
    <x v="3"/>
    <s v="Mouse Advanced"/>
    <x v="3"/>
    <n v="7927.04"/>
    <s v="C:\Users\maria\Documents\Invoice\Invoice -3.pdf"/>
  </r>
  <r>
    <d v="2026-03-22T00:00:00"/>
    <x v="3"/>
    <s v="Mark Johnson"/>
    <x v="4"/>
    <s v="Headset Eco"/>
    <x v="2"/>
    <n v="7711"/>
    <s v="C:\Users\maria\Documents\Invoice\Invoice -4.pdf"/>
  </r>
  <r>
    <d v="2026-03-22T00:00:00"/>
    <x v="4"/>
    <s v="Paul Wright"/>
    <x v="5"/>
    <s v="Mouse Prime"/>
    <x v="4"/>
    <n v="4228.9799999999996"/>
    <s v="C:\Users\maria\Documents\Invoice\Invoice -5.pdf"/>
  </r>
  <r>
    <d v="2026-03-22T00:00:00"/>
    <x v="4"/>
    <s v="Paul Wright"/>
    <x v="6"/>
    <s v="Printer Smart"/>
    <x v="3"/>
    <n v="63088.52"/>
    <s v="C:\Users\maria\Documents\Invoice\Invoice -5.pdf"/>
  </r>
  <r>
    <d v="2026-03-22T00:00:00"/>
    <x v="5"/>
    <s v="Anthony Martinez"/>
    <x v="7"/>
    <s v="Keyboard Smart"/>
    <x v="1"/>
    <n v="2356.6"/>
    <s v="C:\Users\maria\Documents\Invoice\Invoice -6.pdf"/>
  </r>
  <r>
    <d v="2026-03-22T00:00:00"/>
    <x v="6"/>
    <s v="Karen Thomas"/>
    <x v="8"/>
    <s v="Headset Ultra"/>
    <x v="1"/>
    <n v="1785.56"/>
    <s v="C:\Users\maria\Documents\Invoice\Invoice -7.pdf"/>
  </r>
  <r>
    <d v="2026-03-22T00:00:00"/>
    <x v="6"/>
    <s v="Karen Thomas"/>
    <x v="9"/>
    <s v="Printer Max"/>
    <x v="5"/>
    <n v="3288.12"/>
    <s v="C:\Users\maria\Documents\Invoice\Invoice -7.pdf"/>
  </r>
  <r>
    <d v="2026-03-22T00:00:00"/>
    <x v="6"/>
    <s v="Karen Thomas"/>
    <x v="10"/>
    <s v="Desk Prime"/>
    <x v="5"/>
    <n v="1249.1399999999999"/>
    <s v="C:\Users\maria\Documents\Invoice\Invoice -7.pdf"/>
  </r>
  <r>
    <d v="2026-03-23T00:00:00"/>
    <x v="7"/>
    <s v="Daniel Wright"/>
    <x v="11"/>
    <s v="Phone Plus"/>
    <x v="6"/>
    <n v="1410.24"/>
    <s v="C:\Users\maria\Documents\Invoice\Invoice -8.pdf"/>
  </r>
  <r>
    <d v="2026-03-25T00:00:00"/>
    <x v="8"/>
    <s v="Linda Smith"/>
    <x v="12"/>
    <s v="Tablet Ultra"/>
    <x v="7"/>
    <n v="27456"/>
    <s v="C:\Users\maria\Documents\Invoice\Invoice -9.pdf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F0F1-949A-4276-B00C-6945B3F8B724}" name="ptDetail" cacheId="2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7" indent="0" compact="0" compactData="0" multipleFieldFilters="0">
  <location ref="A3:C4" firstHeaderRow="1" firstDataRow="1" firstDataCol="3"/>
  <pivotFields count="8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h="1" x="0"/>
        <item h="1" x="1"/>
        <item h="1" x="2"/>
        <item h="1" x="3"/>
        <item h="1" x="4"/>
        <item h="1" x="5"/>
        <item h="1" x="6"/>
        <item x="7"/>
        <item h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5"/>
        <item x="1"/>
        <item x="2"/>
        <item x="6"/>
        <item x="3"/>
        <item x="4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4"/>
        <item x="0"/>
        <item x="3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5"/>
  </rowFields>
  <rowItems count="1">
    <i>
      <x v="7"/>
      <x v="11"/>
      <x v="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F50990-E6F5-4204-AB4A-9F52302CE054}" name="tblInvoice6" displayName="tblInvoice6" ref="B12:E28" totalsRowCount="1">
  <autoFilter ref="B12:E27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FDE17229-40EE-463A-8A11-8F2DBA3932E8}" name="CODE" dataCellStyle="Description">
      <calculatedColumnFormula>IF($E$4='Pt-Invoice Analysis'!A4,'Pt-Invoice Analysis'!B4,"")</calculatedColumnFormula>
    </tableColumn>
    <tableColumn id="2" xr3:uid="{625BEDC1-6D0A-405E-9DAA-648BC673528E}" name="DESCRIPTION" totalsRowLabel="TOTAL" dataDxfId="18" totalsRowDxfId="17" dataCellStyle="Description">
      <calculatedColumnFormula>IFERROR(VLOOKUP(tblInvoice6[[#This Row],[CODE]],tblProduct[],2,FALSE),"-")</calculatedColumnFormula>
    </tableColumn>
    <tableColumn id="4" xr3:uid="{250DA22A-2998-46F7-96C4-519C7D54BA34}" name="QUANTITY" dataDxfId="16" dataCellStyle="Description">
      <calculatedColumnFormula>IF($E$4='Pt-Invoice Analysis'!A4,'Pt-Invoice Analysis'!C4,"")</calculatedColumnFormula>
    </tableColumn>
    <tableColumn id="3" xr3:uid="{61180ECD-F1A1-4FB4-BFE7-DAEC7C298FA5}" name="AMOUNT" totalsRowFunction="sum" dataDxfId="15" totalsRowDxfId="14" dataCellStyle="Currency">
      <calculatedColumnFormula>IFERROR(tblInvoice6[[#This Row],[QUANTITY]] * VLOOKUP(tblInvoice6[[#This Row],[CODE]],tblProduct[],3,FALSE),"-")</calculatedColumnFormula>
    </tableColumn>
  </tableColumns>
  <tableStyleInfo name="TableStyleLight8" showFirstColumn="0" showLastColumn="1" showRowStripes="1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nvoice" displayName="tblInvoice" ref="B12:E28" totalsRowCount="1">
  <autoFilter ref="B12:E27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ODE" dataCellStyle="Description"/>
    <tableColumn id="2" xr3:uid="{00000000-0010-0000-0000-000002000000}" name="DESCRIPTION" totalsRowLabel="TOTAL" dataDxfId="13" totalsRowDxfId="12" dataCellStyle="Description">
      <calculatedColumnFormula>IFERROR(VLOOKUP(tblInvoice[[#This Row],[CODE]],tblProduct[],2,FALSE),"-")</calculatedColumnFormula>
    </tableColumn>
    <tableColumn id="4" xr3:uid="{5E6CA87A-1F90-4221-8601-736D78EBC2E8}" name="QUANTITY" dataDxfId="11" dataCellStyle="Description"/>
    <tableColumn id="3" xr3:uid="{00000000-0010-0000-0000-000003000000}" name="AMOUNT" totalsRowFunction="sum" dataDxfId="10" totalsRowDxfId="9" dataCellStyle="Currency">
      <calculatedColumnFormula>IFERROR(tblInvoice[[#This Row],[QUANTITY]] * VLOOKUP(tblInvoice[[#This Row],[CODE]],tblProduct[],3,FALSE),"-")</calculatedColumnFormula>
    </tableColumn>
  </tableColumns>
  <tableStyleInfo name="TableStyleMedium1" showFirstColumn="0" showLastColumn="1" showRowStripes="1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7829C3-933C-4618-902C-5CE841F8C562}" name="tblDetail" displayName="tblDetail" ref="A1:H14" totalsRowShown="0" headerRowDxfId="8">
  <tableColumns count="8">
    <tableColumn id="1" xr3:uid="{054C3761-4A9B-464E-9C71-156C225060D6}" name="Date"/>
    <tableColumn id="2" xr3:uid="{09DB7ACB-1E35-4DE9-8F5F-D5FFFF59F837}" name="Consecutive" dataDxfId="7"/>
    <tableColumn id="3" xr3:uid="{DAB2A7AF-B5D5-4577-9A98-02583942827D}" name="Billed to"/>
    <tableColumn id="4" xr3:uid="{C752ED87-974F-4A8A-9072-380356751611}" name="Code"/>
    <tableColumn id="5" xr3:uid="{698194D8-672E-4695-9B85-68F682C896E8}" name="Description"/>
    <tableColumn id="6" xr3:uid="{20A7402D-AF78-4CDB-A4F4-3D8D9A42A676}" name="Quantity" dataDxfId="6"/>
    <tableColumn id="7" xr3:uid="{4B1A5D5C-0B48-4E79-812E-320A25DF705A}" name="Amount"/>
    <tableColumn id="8" xr3:uid="{80CFE827-2B3D-4C69-8AF6-2F1986EFBACB}" name="Nombre Archivo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03596B-3FEA-42DA-AFC3-DAA7F0B4FBE7}" name="tblCustomer" displayName="tblCustomer" ref="A1:F67" totalsRowShown="0" headerRowDxfId="5" headerRowCellStyle="Normal 2" dataCellStyle="Normal 2">
  <autoFilter ref="A1:F67" xr:uid="{FE03596B-3FEA-42DA-AFC3-DAA7F0B4FBE7}"/>
  <tableColumns count="6">
    <tableColumn id="1" xr3:uid="{AD02D28B-E9FB-41F6-8F67-C9FF97C5361B}" name="Name" dataCellStyle="Normal 2"/>
    <tableColumn id="2" xr3:uid="{29C0B313-0A5B-4764-B2AE-9D7047FBBE49}" name="Company Name" dataCellStyle="Normal 2"/>
    <tableColumn id="3" xr3:uid="{3879FFD8-2850-405A-BF08-D0AAAE66EE68}" name="Address" dataCellStyle="Normal 2"/>
    <tableColumn id="4" xr3:uid="{531C050D-A75A-4FBD-975C-FC6F2EE7FA4F}" name="City" dataCellStyle="Normal 2"/>
    <tableColumn id="5" xr3:uid="{DF5B4E9A-AFB5-4CE8-8850-65AC3AFC328C}" name="State ZIP" dataCellStyle="Normal 2"/>
    <tableColumn id="6" xr3:uid="{6C93CDB5-1F06-4F05-AC5A-8486C1060FEB}" name="Phone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A20581-08DE-403B-B31D-14B41A3A9D52}" name="tblProduct" displayName="tblProduct" ref="A1:C67" totalsRowShown="0" headerRowDxfId="4" dataDxfId="3">
  <autoFilter ref="A1:C67" xr:uid="{19A20581-08DE-403B-B31D-14B41A3A9D52}"/>
  <tableColumns count="3">
    <tableColumn id="1" xr3:uid="{16DF3A3F-823A-4310-AC33-68BD93018B04}" name="Code" dataDxfId="2"/>
    <tableColumn id="2" xr3:uid="{8F98096B-CC02-4667-B098-E02EBCFBF6C6}" name="Description" dataDxfId="1"/>
    <tableColumn id="3" xr3:uid="{AAF13BBB-4B81-4CFF-9096-D462BE886C40}" name="Unit Pric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06F37B4-595B-498E-8C2D-26ABD9AD3E8B}">
  <we:reference id="wa200010215" version="1.0.0.0" store="en-US" storeType="OMEX"/>
  <we:alternateReferences>
    <we:reference id="wa200010215" version="1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AABF-FF57-403C-9E0E-B950E14911DC}">
  <sheetPr codeName="Sheet6">
    <tabColor theme="0" tint="-0.249977111117893"/>
    <pageSetUpPr fitToPage="1"/>
  </sheetPr>
  <dimension ref="B1:N32"/>
  <sheetViews>
    <sheetView showGridLines="0" tabSelected="1" workbookViewId="0">
      <selection activeCell="F11" sqref="F11"/>
    </sheetView>
  </sheetViews>
  <sheetFormatPr defaultRowHeight="30" customHeight="1" x14ac:dyDescent="0.2"/>
  <cols>
    <col min="1" max="1" width="2.5" style="13" customWidth="1"/>
    <col min="2" max="2" width="17.25" style="13" customWidth="1"/>
    <col min="3" max="3" width="47.875" style="13" customWidth="1"/>
    <col min="4" max="4" width="15.375" style="13" customWidth="1"/>
    <col min="5" max="5" width="17.75" style="13" customWidth="1"/>
    <col min="6" max="6" width="2.625" style="13" customWidth="1"/>
    <col min="7" max="13" width="9" style="13"/>
    <col min="14" max="14" width="13.625" style="13" customWidth="1"/>
    <col min="15" max="16384" width="9" style="13"/>
  </cols>
  <sheetData>
    <row r="1" spans="2:14" ht="34.5" customHeight="1" x14ac:dyDescent="0.45">
      <c r="B1" s="2" t="s">
        <v>16</v>
      </c>
      <c r="C1" s="19"/>
      <c r="D1" s="35" t="s">
        <v>0</v>
      </c>
      <c r="E1" s="35"/>
      <c r="N1" s="13" t="str">
        <f>VLOOKUP(E4,tblDetail[[Consecutive]:[Nombre Archivo]],7,FALSE)</f>
        <v>C:\Users\maria\Documents\Invoice\Invoice -8.pdf</v>
      </c>
    </row>
    <row r="2" spans="2:14" ht="30" customHeight="1" x14ac:dyDescent="0.2">
      <c r="B2" s="20" t="s">
        <v>17</v>
      </c>
    </row>
    <row r="3" spans="2:14" ht="30" customHeight="1" x14ac:dyDescent="0.25">
      <c r="B3" s="13" t="s">
        <v>18</v>
      </c>
      <c r="C3" s="11"/>
      <c r="D3" s="11" t="s">
        <v>1</v>
      </c>
      <c r="E3" s="4">
        <f ca="1">TODAY()</f>
        <v>46143</v>
      </c>
    </row>
    <row r="4" spans="2:14" ht="15" customHeight="1" x14ac:dyDescent="0.25">
      <c r="B4" s="21" t="s">
        <v>19</v>
      </c>
      <c r="C4" s="11"/>
      <c r="D4" s="11" t="s">
        <v>2</v>
      </c>
      <c r="E4" s="5">
        <v>8</v>
      </c>
    </row>
    <row r="5" spans="2:14" ht="30" customHeight="1" x14ac:dyDescent="0.2">
      <c r="B5" s="6" t="s">
        <v>20</v>
      </c>
      <c r="C5" s="10"/>
      <c r="D5" s="10" t="s">
        <v>11</v>
      </c>
      <c r="E5" s="12" t="s">
        <v>9</v>
      </c>
    </row>
    <row r="6" spans="2:14" ht="30" customHeight="1" x14ac:dyDescent="0.25">
      <c r="B6" s="3" t="s">
        <v>3</v>
      </c>
    </row>
    <row r="7" spans="2:14" ht="15" customHeight="1" x14ac:dyDescent="0.2">
      <c r="B7" s="13" t="str">
        <f>IFERROR(VLOOKUP(E4,tblDetail[[Consecutive]:[Amount]],2,FALSE),"")</f>
        <v>Daniel Wright</v>
      </c>
    </row>
    <row r="8" spans="2:14" ht="15" customHeight="1" x14ac:dyDescent="0.2">
      <c r="B8" s="13" t="str">
        <f>IFERROR(VLOOKUP(B7,tblCustomer[],2,FALSE),"-")</f>
        <v>Brown Consulting</v>
      </c>
    </row>
    <row r="9" spans="2:14" ht="15" customHeight="1" x14ac:dyDescent="0.2">
      <c r="B9" s="17" t="str">
        <f>IFERROR(VLOOKUP(B7,tblCustomer[],3,FALSE),"-")</f>
        <v>6644 Main St</v>
      </c>
      <c r="C9" s="17"/>
      <c r="D9" s="17"/>
      <c r="E9" s="17"/>
      <c r="F9" s="17"/>
      <c r="G9" s="17"/>
    </row>
    <row r="10" spans="2:14" ht="15" customHeight="1" x14ac:dyDescent="0.2">
      <c r="B10" s="13" t="str">
        <f>IFERROR(VLOOKUP(B7,tblCustomer[],4,FALSE),"-")</f>
        <v>Miami</v>
      </c>
    </row>
    <row r="11" spans="2:14" ht="30" customHeight="1" x14ac:dyDescent="0.2">
      <c r="B11" s="6" t="str">
        <f>IFERROR(VLOOKUP(B7,tblCustomer[],5,FALSE),"-")</f>
        <v>FL 13822</v>
      </c>
    </row>
    <row r="12" spans="2:14" ht="30" customHeight="1" x14ac:dyDescent="0.2">
      <c r="B12" s="16" t="s">
        <v>14</v>
      </c>
      <c r="C12" s="1" t="s">
        <v>6</v>
      </c>
      <c r="D12" s="1" t="s">
        <v>15</v>
      </c>
      <c r="E12" s="1" t="s">
        <v>7</v>
      </c>
    </row>
    <row r="13" spans="2:14" ht="30" customHeight="1" x14ac:dyDescent="0.2">
      <c r="B13" s="15" t="str">
        <f>IF($E$4='Pt-Invoice Analysis'!A4,'Pt-Invoice Analysis'!B4,"")</f>
        <v>P024</v>
      </c>
      <c r="C13" s="9" t="str">
        <f>IFERROR(VLOOKUP(tblInvoice6[[#This Row],[CODE]],tblProduct[],2,FALSE),"-")</f>
        <v>Phone Plus</v>
      </c>
      <c r="D13" s="25">
        <f>IF($E$4='Pt-Invoice Analysis'!A4,'Pt-Invoice Analysis'!C4,"")</f>
        <v>12</v>
      </c>
      <c r="E13" s="7">
        <f>IFERROR(tblInvoice6[[#This Row],[QUANTITY]] * VLOOKUP(tblInvoice6[[#This Row],[CODE]],tblProduct[],3,FALSE),"-")</f>
        <v>1410.24</v>
      </c>
    </row>
    <row r="14" spans="2:14" ht="30" customHeight="1" x14ac:dyDescent="0.2">
      <c r="B14" s="15" t="str">
        <f>IF($E$4='Pt-Invoice Analysis'!A5,'Pt-Invoice Analysis'!B5,"")</f>
        <v/>
      </c>
      <c r="C14" s="9" t="str">
        <f>IFERROR(VLOOKUP(tblInvoice6[[#This Row],[CODE]],tblProduct[],2,FALSE),"-")</f>
        <v>-</v>
      </c>
      <c r="D14" s="25" t="str">
        <f>IF($E$4='Pt-Invoice Analysis'!A5,'Pt-Invoice Analysis'!C5,"")</f>
        <v/>
      </c>
      <c r="E14" s="7" t="str">
        <f>IFERROR(tblInvoice6[[#This Row],[QUANTITY]] * VLOOKUP(tblInvoice6[[#This Row],[CODE]],tblProduct[],3,FALSE),"-")</f>
        <v>-</v>
      </c>
    </row>
    <row r="15" spans="2:14" ht="30" customHeight="1" x14ac:dyDescent="0.2">
      <c r="B15" s="15" t="str">
        <f>IF($E$4='Pt-Invoice Analysis'!A6,'Pt-Invoice Analysis'!B6,"")</f>
        <v/>
      </c>
      <c r="C15" s="9" t="str">
        <f>IFERROR(VLOOKUP(tblInvoice6[[#This Row],[CODE]],tblProduct[],2,FALSE),"-")</f>
        <v>-</v>
      </c>
      <c r="D15" s="25" t="str">
        <f>IF($E$4='Pt-Invoice Analysis'!A6,'Pt-Invoice Analysis'!C6,"")</f>
        <v/>
      </c>
      <c r="E15" s="7" t="str">
        <f>IFERROR(tblInvoice6[[#This Row],[QUANTITY]] * VLOOKUP(tblInvoice6[[#This Row],[CODE]],tblProduct[],3,FALSE),"-")</f>
        <v>-</v>
      </c>
    </row>
    <row r="16" spans="2:14" ht="30" customHeight="1" x14ac:dyDescent="0.2">
      <c r="B16" s="15" t="str">
        <f>IF($E$4='Pt-Invoice Analysis'!A7,'Pt-Invoice Analysis'!B7,"")</f>
        <v/>
      </c>
      <c r="C16" s="9" t="str">
        <f>IFERROR(VLOOKUP(tblInvoice6[[#This Row],[CODE]],tblProduct[],2,FALSE),"-")</f>
        <v>-</v>
      </c>
      <c r="D16" s="25" t="str">
        <f>IF($E$4='Pt-Invoice Analysis'!A7,'Pt-Invoice Analysis'!C7,"")</f>
        <v/>
      </c>
      <c r="E16" s="7" t="str">
        <f>IFERROR(tblInvoice6[[#This Row],[QUANTITY]] * VLOOKUP(tblInvoice6[[#This Row],[CODE]],tblProduct[],3,FALSE),"-")</f>
        <v>-</v>
      </c>
    </row>
    <row r="17" spans="2:5" ht="30" customHeight="1" x14ac:dyDescent="0.2">
      <c r="B17" s="15" t="str">
        <f>IF($E$4='Pt-Invoice Analysis'!A8,'Pt-Invoice Analysis'!B8,"")</f>
        <v/>
      </c>
      <c r="C17" s="9" t="str">
        <f>IFERROR(VLOOKUP(tblInvoice6[[#This Row],[CODE]],tblProduct[],2,FALSE),"-")</f>
        <v>-</v>
      </c>
      <c r="D17" s="25" t="str">
        <f>IF($E$4='Pt-Invoice Analysis'!A8,'Pt-Invoice Analysis'!C8,"")</f>
        <v/>
      </c>
      <c r="E17" s="7" t="str">
        <f>IFERROR(tblInvoice6[[#This Row],[QUANTITY]] * VLOOKUP(tblInvoice6[[#This Row],[CODE]],tblProduct[],3,FALSE),"-")</f>
        <v>-</v>
      </c>
    </row>
    <row r="18" spans="2:5" ht="30" customHeight="1" x14ac:dyDescent="0.2">
      <c r="B18" s="15" t="str">
        <f>IF($E$4='Pt-Invoice Analysis'!A9,'Pt-Invoice Analysis'!B9,"")</f>
        <v/>
      </c>
      <c r="C18" s="9" t="str">
        <f>IFERROR(VLOOKUP(tblInvoice6[[#This Row],[CODE]],tblProduct[],2,FALSE),"-")</f>
        <v>-</v>
      </c>
      <c r="D18" s="25" t="str">
        <f>IF($E$4='Pt-Invoice Analysis'!A9,'Pt-Invoice Analysis'!C9,"")</f>
        <v/>
      </c>
      <c r="E18" s="7" t="str">
        <f>IFERROR(tblInvoice6[[#This Row],[QUANTITY]] * VLOOKUP(tblInvoice6[[#This Row],[CODE]],tblProduct[],3,FALSE),"-")</f>
        <v>-</v>
      </c>
    </row>
    <row r="19" spans="2:5" ht="30" customHeight="1" x14ac:dyDescent="0.2">
      <c r="B19" s="15" t="str">
        <f>IF($E$4='Pt-Invoice Analysis'!A10,'Pt-Invoice Analysis'!B10,"")</f>
        <v/>
      </c>
      <c r="C19" s="9" t="str">
        <f>IFERROR(VLOOKUP(tblInvoice6[[#This Row],[CODE]],tblProduct[],2,FALSE),"-")</f>
        <v>-</v>
      </c>
      <c r="D19" s="25" t="str">
        <f>IF($E$4='Pt-Invoice Analysis'!A10,'Pt-Invoice Analysis'!C10,"")</f>
        <v/>
      </c>
      <c r="E19" s="7" t="str">
        <f>IFERROR(tblInvoice6[[#This Row],[QUANTITY]] * VLOOKUP(tblInvoice6[[#This Row],[CODE]],tblProduct[],3,FALSE),"-")</f>
        <v>-</v>
      </c>
    </row>
    <row r="20" spans="2:5" ht="30" customHeight="1" x14ac:dyDescent="0.2">
      <c r="B20" s="15" t="str">
        <f>IF($E$4='Pt-Invoice Analysis'!A11,'Pt-Invoice Analysis'!B11,"")</f>
        <v/>
      </c>
      <c r="C20" s="9" t="str">
        <f>IFERROR(VLOOKUP(tblInvoice6[[#This Row],[CODE]],tblProduct[],2,FALSE),"-")</f>
        <v>-</v>
      </c>
      <c r="D20" s="25" t="str">
        <f>IF($E$4='Pt-Invoice Analysis'!A11,'Pt-Invoice Analysis'!C11,"")</f>
        <v/>
      </c>
      <c r="E20" s="7" t="str">
        <f>IFERROR(tblInvoice6[[#This Row],[QUANTITY]] * VLOOKUP(tblInvoice6[[#This Row],[CODE]],tblProduct[],3,FALSE),"-")</f>
        <v>-</v>
      </c>
    </row>
    <row r="21" spans="2:5" ht="30" customHeight="1" x14ac:dyDescent="0.2">
      <c r="B21" s="15" t="str">
        <f>IF($E$4='Pt-Invoice Analysis'!A12,'Pt-Invoice Analysis'!B12,"")</f>
        <v/>
      </c>
      <c r="C21" s="9" t="str">
        <f>IFERROR(VLOOKUP(tblInvoice6[[#This Row],[CODE]],tblProduct[],2,FALSE),"-")</f>
        <v>-</v>
      </c>
      <c r="D21" s="25" t="str">
        <f>IF($E$4='Pt-Invoice Analysis'!A12,'Pt-Invoice Analysis'!C12,"")</f>
        <v/>
      </c>
      <c r="E21" s="7" t="str">
        <f>IFERROR(tblInvoice6[[#This Row],[QUANTITY]] * VLOOKUP(tblInvoice6[[#This Row],[CODE]],tblProduct[],3,FALSE),"-")</f>
        <v>-</v>
      </c>
    </row>
    <row r="22" spans="2:5" ht="30" customHeight="1" x14ac:dyDescent="0.2">
      <c r="B22" s="15" t="str">
        <f>IF($E$4='Pt-Invoice Analysis'!A13,'Pt-Invoice Analysis'!B13,"")</f>
        <v/>
      </c>
      <c r="C22" s="9" t="str">
        <f>IFERROR(VLOOKUP(tblInvoice6[[#This Row],[CODE]],tblProduct[],2,FALSE),"-")</f>
        <v>-</v>
      </c>
      <c r="D22" s="25" t="str">
        <f>IF($E$4='Pt-Invoice Analysis'!A13,'Pt-Invoice Analysis'!C13,"")</f>
        <v/>
      </c>
      <c r="E22" s="7" t="str">
        <f>IFERROR(tblInvoice6[[#This Row],[QUANTITY]] * VLOOKUP(tblInvoice6[[#This Row],[CODE]],tblProduct[],3,FALSE),"-")</f>
        <v>-</v>
      </c>
    </row>
    <row r="23" spans="2:5" ht="30" customHeight="1" x14ac:dyDescent="0.2">
      <c r="B23" s="15" t="str">
        <f>IF($E$4='Pt-Invoice Analysis'!A14,'Pt-Invoice Analysis'!B14,"")</f>
        <v/>
      </c>
      <c r="C23" s="9" t="str">
        <f>IFERROR(VLOOKUP(tblInvoice6[[#This Row],[CODE]],tblProduct[],2,FALSE),"-")</f>
        <v>-</v>
      </c>
      <c r="D23" s="25" t="str">
        <f>IF($E$4='Pt-Invoice Analysis'!A14,'Pt-Invoice Analysis'!C14,"")</f>
        <v/>
      </c>
      <c r="E23" s="7" t="str">
        <f>IFERROR(tblInvoice6[[#This Row],[QUANTITY]] * VLOOKUP(tblInvoice6[[#This Row],[CODE]],tblProduct[],3,FALSE),"-")</f>
        <v>-</v>
      </c>
    </row>
    <row r="24" spans="2:5" ht="30" customHeight="1" x14ac:dyDescent="0.2">
      <c r="B24" s="15" t="str">
        <f>IF($E$4='Pt-Invoice Analysis'!A15,'Pt-Invoice Analysis'!B15,"")</f>
        <v/>
      </c>
      <c r="C24" s="9" t="str">
        <f>IFERROR(VLOOKUP(tblInvoice6[[#This Row],[CODE]],tblProduct[],2,FALSE),"-")</f>
        <v>-</v>
      </c>
      <c r="D24" s="25" t="str">
        <f>IF($E$4='Pt-Invoice Analysis'!A15,'Pt-Invoice Analysis'!C15,"")</f>
        <v/>
      </c>
      <c r="E24" s="7" t="str">
        <f>IFERROR(tblInvoice6[[#This Row],[QUANTITY]] * VLOOKUP(tblInvoice6[[#This Row],[CODE]],tblProduct[],3,FALSE),"-")</f>
        <v>-</v>
      </c>
    </row>
    <row r="25" spans="2:5" ht="30" customHeight="1" x14ac:dyDescent="0.2">
      <c r="B25" s="15" t="str">
        <f>IF($E$4='Pt-Invoice Analysis'!A16,'Pt-Invoice Analysis'!B16,"")</f>
        <v/>
      </c>
      <c r="C25" s="9" t="str">
        <f>IFERROR(VLOOKUP(tblInvoice6[[#This Row],[CODE]],tblProduct[],2,FALSE),"-")</f>
        <v>-</v>
      </c>
      <c r="D25" s="25" t="str">
        <f>IF($E$4='Pt-Invoice Analysis'!A16,'Pt-Invoice Analysis'!C16,"")</f>
        <v/>
      </c>
      <c r="E25" s="7" t="str">
        <f>IFERROR(tblInvoice6[[#This Row],[QUANTITY]] * VLOOKUP(tblInvoice6[[#This Row],[CODE]],tblProduct[],3,FALSE),"-")</f>
        <v>-</v>
      </c>
    </row>
    <row r="26" spans="2:5" ht="30" customHeight="1" x14ac:dyDescent="0.2">
      <c r="B26" s="15" t="str">
        <f>IF($E$4='Pt-Invoice Analysis'!A17,'Pt-Invoice Analysis'!B17,"")</f>
        <v/>
      </c>
      <c r="C26" s="9" t="str">
        <f>IFERROR(VLOOKUP(tblInvoice6[[#This Row],[CODE]],tblProduct[],2,FALSE),"-")</f>
        <v>-</v>
      </c>
      <c r="D26" s="25" t="str">
        <f>IF($E$4='Pt-Invoice Analysis'!A17,'Pt-Invoice Analysis'!C17,"")</f>
        <v/>
      </c>
      <c r="E26" s="7" t="str">
        <f>IFERROR(tblInvoice6[[#This Row],[QUANTITY]] * VLOOKUP(tblInvoice6[[#This Row],[CODE]],tblProduct[],3,FALSE),"-")</f>
        <v>-</v>
      </c>
    </row>
    <row r="27" spans="2:5" ht="30" customHeight="1" x14ac:dyDescent="0.2">
      <c r="B27" s="15" t="str">
        <f>IF($E$4='Pt-Invoice Analysis'!A18,'Pt-Invoice Analysis'!B18,"")</f>
        <v/>
      </c>
      <c r="C27" s="9" t="str">
        <f>IFERROR(VLOOKUP(tblInvoice6[[#This Row],[CODE]],tblProduct[],2,FALSE),"-")</f>
        <v>-</v>
      </c>
      <c r="D27" s="25" t="str">
        <f>IF($E$4='Pt-Invoice Analysis'!A18,'Pt-Invoice Analysis'!C18,"")</f>
        <v/>
      </c>
      <c r="E27" s="7" t="str">
        <f>IFERROR(tblInvoice6[[#This Row],[QUANTITY]] * VLOOKUP(tblInvoice6[[#This Row],[CODE]],tblProduct[],3,FALSE),"-")</f>
        <v>-</v>
      </c>
    </row>
    <row r="28" spans="2:5" ht="30" customHeight="1" x14ac:dyDescent="0.2">
      <c r="C28" s="29" t="s">
        <v>8</v>
      </c>
      <c r="E28" s="30">
        <f>SUBTOTAL(109,tblInvoice6[AMOUNT])</f>
        <v>1410.24</v>
      </c>
    </row>
    <row r="29" spans="2:5" ht="30" customHeight="1" x14ac:dyDescent="0.2">
      <c r="C29" s="8"/>
      <c r="D29" s="8"/>
      <c r="E29" s="14" t="str" cm="1">
        <f t="array" ref="E29">NumberToText(tblInvoice6[[#Totals],[AMOUNT]],"","",0)</f>
        <v xml:space="preserve">THOUSAND FOUR HUNDRED TEN  24/100 </v>
      </c>
    </row>
    <row r="30" spans="2:5" ht="30" customHeight="1" x14ac:dyDescent="0.2">
      <c r="B30" s="36" t="str">
        <f>"Make all checks payable to "&amp;Company_Name&amp;""</f>
        <v>Make all checks payable to TechNova Solutions LLC</v>
      </c>
      <c r="C30" s="36"/>
      <c r="D30" s="36"/>
      <c r="E30" s="36"/>
    </row>
    <row r="31" spans="2:5" ht="30" customHeight="1" x14ac:dyDescent="0.2">
      <c r="B31" s="36" t="s">
        <v>13</v>
      </c>
      <c r="C31" s="36"/>
      <c r="D31" s="36"/>
      <c r="E31" s="36"/>
    </row>
    <row r="32" spans="2:5" ht="30" customHeight="1" x14ac:dyDescent="0.25">
      <c r="B32" s="37" t="s">
        <v>12</v>
      </c>
      <c r="C32" s="37"/>
      <c r="D32" s="37"/>
      <c r="E32" s="37"/>
    </row>
  </sheetData>
  <mergeCells count="4">
    <mergeCell ref="D1:E1"/>
    <mergeCell ref="B30:E30"/>
    <mergeCell ref="B31:E31"/>
    <mergeCell ref="B32:E32"/>
  </mergeCells>
  <phoneticPr fontId="12" type="noConversion"/>
  <dataValidations count="24">
    <dataValidation allowBlank="1" showInputMessage="1" showErrorMessage="1" prompt="Title of this worksheet is in this cell. Enter Invoice details in cells C3 to D5" sqref="C1:D1" xr:uid="{7645D126-D9E4-4E6F-B564-91CEC10F5661}"/>
    <dataValidation allowBlank="1" showInputMessage="1" showErrorMessage="1" prompt="Create an Invoice that calculates total in this worksheet. Enter company and customer details, and descriptions and amounts in Invoice table. Total due is automatically calculated" sqref="A1" xr:uid="{AB7F37A1-D2A2-4007-9FF7-440D24CA3065}"/>
    <dataValidation allowBlank="1" showInputMessage="1" showErrorMessage="1" prompt="Enter invoicing Company Name in this cell and slogan in cell below" sqref="B1" xr:uid="{22212444-6581-4080-9962-01D0E68FB530}"/>
    <dataValidation allowBlank="1" showInputMessage="1" showErrorMessage="1" prompt="Enter invoice Date in this cell" sqref="E3" xr:uid="{5E1445BA-FA4F-4455-B1B1-F534867B102C}"/>
    <dataValidation allowBlank="1" showInputMessage="1" showErrorMessage="1" prompt="Enter invoice Date in cell at right" sqref="C3:D3" xr:uid="{85B612DD-DD48-46D6-AB88-5A144555A9F2}"/>
    <dataValidation allowBlank="1" showInputMessage="1" showErrorMessage="1" prompt="Enter Invoice Number in this cell" sqref="E4" xr:uid="{525C0EAD-D4F3-488D-9B8A-67376D20232D}"/>
    <dataValidation allowBlank="1" showInputMessage="1" showErrorMessage="1" prompt="Enter Invoice Number in cell at right" sqref="C4:D4" xr:uid="{9F0510D0-7218-40F9-84FE-21FF6260E7AB}"/>
    <dataValidation allowBlank="1" showInputMessage="1" showErrorMessage="1" prompt="Enter invoice product description in cell at right" sqref="C5:D5" xr:uid="{773FDE1C-138B-431F-A223-F122D5AD2AA6}"/>
    <dataValidation allowBlank="1" showInputMessage="1" showErrorMessage="1" prompt="Enter invoice product description in this cell" sqref="E5" xr:uid="{673C60FE-9E31-46A1-8E14-093B74DAE5D8}"/>
    <dataValidation allowBlank="1" showInputMessage="1" showErrorMessage="1" prompt="Enter Company Slogan in this cell and company address in cells below" sqref="B2" xr:uid="{1E5D6BF7-B4E6-4500-BBBB-F5E686436DE9}"/>
    <dataValidation allowBlank="1" showInputMessage="1" showErrorMessage="1" prompt="Enter invoicing company Street Address in this cell" sqref="B3" xr:uid="{DE0AAFF1-A647-4477-B09D-75508EC71076}"/>
    <dataValidation allowBlank="1" showInputMessage="1" showErrorMessage="1" prompt="Enter City, State, and Zip Code in this cell" sqref="B4" xr:uid="{C9866B19-9190-40BD-9192-EBEA2F27A9CC}"/>
    <dataValidation allowBlank="1" showInputMessage="1" showErrorMessage="1" prompt="Enter Phone and Fax numbers within the brackets in this cell" sqref="B5" xr:uid="{CC7EC983-96F4-4997-99CA-5A128AC99FEA}"/>
    <dataValidation allowBlank="1" showInputMessage="1" showErrorMessage="1" prompt="Enter customer Name, Company Name, Street Address and Phone number in cells below" sqref="B6" xr:uid="{7EE42490-558B-4887-98E9-CEAEEC477A7B}"/>
    <dataValidation allowBlank="1" showInputMessage="1" showErrorMessage="1" prompt="Enter customer Phone number in this cell" sqref="B11" xr:uid="{FCB6DC6C-0FFF-45AD-8E3C-6CEBD5AF785F}"/>
    <dataValidation allowBlank="1" showInputMessage="1" showErrorMessage="1" prompt="Enter customer City, State, and Zip Code in this cell" sqref="B10" xr:uid="{108B3F4E-8089-494E-8930-752C6BEC88A4}"/>
    <dataValidation allowBlank="1" showInputMessage="1" showErrorMessage="1" prompt="Enter customer Street Address in this cell" sqref="B9" xr:uid="{1A36A3F9-0867-4742-BFA7-4D6CEC39A259}"/>
    <dataValidation allowBlank="1" showInputMessage="1" showErrorMessage="1" prompt="Enter Company Name in this cell" sqref="B8" xr:uid="{234BDBEC-BF32-4B7F-8F6C-508B4C4F4559}"/>
    <dataValidation allowBlank="1" showInputMessage="1" showErrorMessage="1" prompt="Enter customer Name in this cell" sqref="B7" xr:uid="{D7604D81-6139-4476-83D8-9297A4943B5E}"/>
    <dataValidation allowBlank="1" showInputMessage="1" showErrorMessage="1" prompt="Enter invoice Descriptions in this column under this heading" sqref="B12" xr:uid="{AA0359B6-52C5-49D3-93F9-D02F31A774B4}"/>
    <dataValidation allowBlank="1" showInputMessage="1" showErrorMessage="1" prompt="Enter custom field in this heading and corresponding data in this column under this heading" sqref="C12:D12" xr:uid="{6CED1EE3-3705-43A8-B9E6-9E2B58A4E23E}"/>
    <dataValidation allowBlank="1" showInputMessage="1" showErrorMessage="1" prompt="Enter Amount in this column under this heading for each description in column B. The last cell of the table contains the Total Due amount" sqref="E12" xr:uid="{A4C01514-EDA8-40ED-A1F9-F616548A8275}"/>
    <dataValidation allowBlank="1" showInputMessage="1" showErrorMessage="1" prompt="Enter invoicing company Contact Name, Phone Number, and Email in this cell" sqref="B31:E31" xr:uid="{BC80D422-52E2-4BD4-9620-AE3522B77E05}"/>
    <dataValidation allowBlank="1" showInputMessage="1" showErrorMessage="1" prompt="Company name is automatically appended in this cell" sqref="B30" xr:uid="{09F1D642-E480-4CA3-9311-8238207BC37A}"/>
  </dataValidations>
  <printOptions horizontalCentered="1"/>
  <pageMargins left="0.5" right="0.5" top="0.5" bottom="0.5" header="0.5" footer="0.5"/>
  <pageSetup scale="48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  <pageSetUpPr fitToPage="1"/>
  </sheetPr>
  <dimension ref="B1:G32"/>
  <sheetViews>
    <sheetView showGridLines="0" workbookViewId="0">
      <selection activeCell="B12" sqref="B12:E12"/>
    </sheetView>
  </sheetViews>
  <sheetFormatPr defaultRowHeight="30" customHeight="1" x14ac:dyDescent="0.2"/>
  <cols>
    <col min="1" max="1" width="2.5" customWidth="1"/>
    <col min="2" max="2" width="15.875" customWidth="1"/>
    <col min="3" max="3" width="47.875" customWidth="1"/>
    <col min="4" max="4" width="12.5" style="13" customWidth="1"/>
    <col min="5" max="5" width="17.75" customWidth="1"/>
    <col min="6" max="6" width="2.625" customWidth="1"/>
  </cols>
  <sheetData>
    <row r="1" spans="2:7" ht="34.5" customHeight="1" x14ac:dyDescent="0.45">
      <c r="B1" s="2" t="s">
        <v>16</v>
      </c>
      <c r="C1" s="19"/>
      <c r="D1" s="35" t="s">
        <v>0</v>
      </c>
      <c r="E1" s="35"/>
      <c r="F1" s="13"/>
      <c r="G1" s="13"/>
    </row>
    <row r="2" spans="2:7" ht="30" customHeight="1" x14ac:dyDescent="0.2">
      <c r="B2" s="20" t="s">
        <v>17</v>
      </c>
    </row>
    <row r="3" spans="2:7" ht="30" customHeight="1" x14ac:dyDescent="0.25">
      <c r="B3" t="s">
        <v>18</v>
      </c>
      <c r="C3" s="11"/>
      <c r="D3" s="11" t="s">
        <v>1</v>
      </c>
      <c r="E3" s="4">
        <f ca="1">TODAY()</f>
        <v>46143</v>
      </c>
    </row>
    <row r="4" spans="2:7" ht="15" customHeight="1" x14ac:dyDescent="0.25">
      <c r="B4" s="21" t="s">
        <v>19</v>
      </c>
      <c r="C4" s="11"/>
      <c r="D4" s="11" t="s">
        <v>2</v>
      </c>
      <c r="E4" s="5">
        <v>9</v>
      </c>
    </row>
    <row r="5" spans="2:7" ht="30" customHeight="1" x14ac:dyDescent="0.2">
      <c r="B5" s="6" t="s">
        <v>20</v>
      </c>
      <c r="C5" s="10"/>
      <c r="D5" s="10" t="s">
        <v>11</v>
      </c>
      <c r="E5" s="12" t="s">
        <v>9</v>
      </c>
    </row>
    <row r="6" spans="2:7" ht="30" customHeight="1" x14ac:dyDescent="0.25">
      <c r="B6" s="3" t="s">
        <v>3</v>
      </c>
    </row>
    <row r="7" spans="2:7" ht="15" customHeight="1" x14ac:dyDescent="0.2"/>
    <row r="8" spans="2:7" ht="15" customHeight="1" x14ac:dyDescent="0.2">
      <c r="B8" t="str">
        <f>IFERROR(VLOOKUP(B7,tblCustomer[],2,FALSE),"-")</f>
        <v>-</v>
      </c>
    </row>
    <row r="9" spans="2:7" ht="15" customHeight="1" x14ac:dyDescent="0.2">
      <c r="B9" s="17" t="str">
        <f>IFERROR(VLOOKUP(B7,tblCustomer[],3,FALSE),"-")</f>
        <v>-</v>
      </c>
      <c r="C9" s="17"/>
      <c r="D9" s="17"/>
      <c r="E9" s="17"/>
      <c r="F9" s="17"/>
      <c r="G9" s="17"/>
    </row>
    <row r="10" spans="2:7" ht="15" customHeight="1" x14ac:dyDescent="0.2">
      <c r="B10" t="str">
        <f>IFERROR(VLOOKUP(B7,tblCustomer[],4,FALSE),"-")</f>
        <v>-</v>
      </c>
    </row>
    <row r="11" spans="2:7" ht="30" customHeight="1" x14ac:dyDescent="0.2">
      <c r="B11" s="6" t="str">
        <f>IFERROR(VLOOKUP(B7,tblCustomer[],5,FALSE),"-")</f>
        <v>-</v>
      </c>
    </row>
    <row r="12" spans="2:7" ht="30" customHeight="1" x14ac:dyDescent="0.2">
      <c r="B12" s="16" t="s">
        <v>14</v>
      </c>
      <c r="C12" s="1" t="s">
        <v>6</v>
      </c>
      <c r="D12" s="1" t="s">
        <v>15</v>
      </c>
      <c r="E12" s="1" t="s">
        <v>7</v>
      </c>
    </row>
    <row r="13" spans="2:7" ht="30" customHeight="1" x14ac:dyDescent="0.2">
      <c r="B13" s="15"/>
      <c r="C13" s="9" t="str">
        <f>IFERROR(VLOOKUP(tblInvoice[[#This Row],[CODE]],tblProduct[],2,FALSE),"-")</f>
        <v>-</v>
      </c>
      <c r="D13" s="25"/>
      <c r="E13" s="7" t="str">
        <f>IFERROR(tblInvoice[[#This Row],[QUANTITY]] * VLOOKUP(tblInvoice[[#This Row],[CODE]],tblProduct[],3,FALSE),"-")</f>
        <v>-</v>
      </c>
    </row>
    <row r="14" spans="2:7" ht="30" customHeight="1" x14ac:dyDescent="0.2">
      <c r="B14" s="9"/>
      <c r="C14" s="9" t="str">
        <f>IFERROR(VLOOKUP(tblInvoice[[#This Row],[CODE]],tblProduct[],2,FALSE),"-")</f>
        <v>-</v>
      </c>
      <c r="D14" s="25"/>
      <c r="E14" s="7" t="str">
        <f>IFERROR(tblInvoice[[#This Row],[QUANTITY]] * VLOOKUP(tblInvoice[[#This Row],[CODE]],tblProduct[],3,FALSE),"-")</f>
        <v>-</v>
      </c>
    </row>
    <row r="15" spans="2:7" ht="30" customHeight="1" x14ac:dyDescent="0.2">
      <c r="B15" s="9"/>
      <c r="C15" s="9" t="str">
        <f>IFERROR(VLOOKUP(tblInvoice[[#This Row],[CODE]],tblProduct[],2,FALSE),"-")</f>
        <v>-</v>
      </c>
      <c r="D15" s="25"/>
      <c r="E15" s="7" t="str">
        <f>IFERROR(tblInvoice[[#This Row],[QUANTITY]] * VLOOKUP(tblInvoice[[#This Row],[CODE]],tblProduct[],3,FALSE),"-")</f>
        <v>-</v>
      </c>
    </row>
    <row r="16" spans="2:7" ht="30" customHeight="1" x14ac:dyDescent="0.2">
      <c r="B16" s="9"/>
      <c r="C16" s="9" t="str">
        <f>IFERROR(VLOOKUP(tblInvoice[[#This Row],[CODE]],tblProduct[],2,FALSE),"-")</f>
        <v>-</v>
      </c>
      <c r="D16" s="25"/>
      <c r="E16" s="7" t="str">
        <f>IFERROR(tblInvoice[[#This Row],[QUANTITY]] * VLOOKUP(tblInvoice[[#This Row],[CODE]],tblProduct[],3,FALSE),"-")</f>
        <v>-</v>
      </c>
    </row>
    <row r="17" spans="2:5" ht="30" customHeight="1" x14ac:dyDescent="0.2">
      <c r="B17" s="9"/>
      <c r="C17" s="9" t="str">
        <f>IFERROR(VLOOKUP(tblInvoice[[#This Row],[CODE]],tblProduct[],2,FALSE),"-")</f>
        <v>-</v>
      </c>
      <c r="D17" s="25"/>
      <c r="E17" s="7" t="str">
        <f>IFERROR(tblInvoice[[#This Row],[QUANTITY]] * VLOOKUP(tblInvoice[[#This Row],[CODE]],tblProduct[],3,FALSE),"-")</f>
        <v>-</v>
      </c>
    </row>
    <row r="18" spans="2:5" ht="30" customHeight="1" x14ac:dyDescent="0.2">
      <c r="B18" s="9"/>
      <c r="C18" s="9" t="str">
        <f>IFERROR(VLOOKUP(tblInvoice[[#This Row],[CODE]],tblProduct[],2,FALSE),"-")</f>
        <v>-</v>
      </c>
      <c r="D18" s="25"/>
      <c r="E18" s="7" t="str">
        <f>IFERROR(tblInvoice[[#This Row],[QUANTITY]] * VLOOKUP(tblInvoice[[#This Row],[CODE]],tblProduct[],3,FALSE),"-")</f>
        <v>-</v>
      </c>
    </row>
    <row r="19" spans="2:5" ht="30" customHeight="1" x14ac:dyDescent="0.2">
      <c r="B19" s="9"/>
      <c r="C19" s="27" t="str">
        <f>IFERROR(VLOOKUP(tblInvoice[[#This Row],[CODE]],tblProduct[],2,FALSE),"-")</f>
        <v>-</v>
      </c>
      <c r="D19" s="25"/>
      <c r="E19" s="28" t="str">
        <f>IFERROR(tblInvoice[[#This Row],[QUANTITY]] * VLOOKUP(tblInvoice[[#This Row],[CODE]],tblProduct[],3,FALSE),"-")</f>
        <v>-</v>
      </c>
    </row>
    <row r="20" spans="2:5" ht="30" customHeight="1" x14ac:dyDescent="0.2">
      <c r="B20" s="9"/>
      <c r="C20" s="27" t="str">
        <f>IFERROR(VLOOKUP(tblInvoice[[#This Row],[CODE]],tblProduct[],2,FALSE),"-")</f>
        <v>-</v>
      </c>
      <c r="D20" s="25"/>
      <c r="E20" s="28" t="str">
        <f>IFERROR(tblInvoice[[#This Row],[QUANTITY]] * VLOOKUP(tblInvoice[[#This Row],[CODE]],tblProduct[],3,FALSE),"-")</f>
        <v>-</v>
      </c>
    </row>
    <row r="21" spans="2:5" ht="30" customHeight="1" x14ac:dyDescent="0.2">
      <c r="B21" s="9"/>
      <c r="C21" s="27" t="str">
        <f>IFERROR(VLOOKUP(tblInvoice[[#This Row],[CODE]],tblProduct[],2,FALSE),"-")</f>
        <v>-</v>
      </c>
      <c r="D21" s="25"/>
      <c r="E21" s="28" t="str">
        <f>IFERROR(tblInvoice[[#This Row],[QUANTITY]] * VLOOKUP(tblInvoice[[#This Row],[CODE]],tblProduct[],3,FALSE),"-")</f>
        <v>-</v>
      </c>
    </row>
    <row r="22" spans="2:5" ht="30" customHeight="1" x14ac:dyDescent="0.2">
      <c r="B22" s="9"/>
      <c r="C22" s="27" t="str">
        <f>IFERROR(VLOOKUP(tblInvoice[[#This Row],[CODE]],tblProduct[],2,FALSE),"-")</f>
        <v>-</v>
      </c>
      <c r="D22" s="25"/>
      <c r="E22" s="28" t="str">
        <f>IFERROR(tblInvoice[[#This Row],[QUANTITY]] * VLOOKUP(tblInvoice[[#This Row],[CODE]],tblProduct[],3,FALSE),"-")</f>
        <v>-</v>
      </c>
    </row>
    <row r="23" spans="2:5" ht="30" customHeight="1" x14ac:dyDescent="0.2">
      <c r="B23" s="9"/>
      <c r="C23" s="27" t="str">
        <f>IFERROR(VLOOKUP(tblInvoice[[#This Row],[CODE]],tblProduct[],2,FALSE),"-")</f>
        <v>-</v>
      </c>
      <c r="D23" s="25"/>
      <c r="E23" s="28" t="str">
        <f>IFERROR(tblInvoice[[#This Row],[QUANTITY]] * VLOOKUP(tblInvoice[[#This Row],[CODE]],tblProduct[],3,FALSE),"-")</f>
        <v>-</v>
      </c>
    </row>
    <row r="24" spans="2:5" ht="30" customHeight="1" x14ac:dyDescent="0.2">
      <c r="B24" s="9"/>
      <c r="C24" s="27" t="str">
        <f>IFERROR(VLOOKUP(tblInvoice[[#This Row],[CODE]],tblProduct[],2,FALSE),"-")</f>
        <v>-</v>
      </c>
      <c r="D24" s="25"/>
      <c r="E24" s="28" t="str">
        <f>IFERROR(tblInvoice[[#This Row],[QUANTITY]] * VLOOKUP(tblInvoice[[#This Row],[CODE]],tblProduct[],3,FALSE),"-")</f>
        <v>-</v>
      </c>
    </row>
    <row r="25" spans="2:5" ht="30" customHeight="1" x14ac:dyDescent="0.2">
      <c r="B25" s="9"/>
      <c r="C25" s="27" t="str">
        <f>IFERROR(VLOOKUP(tblInvoice[[#This Row],[CODE]],tblProduct[],2,FALSE),"-")</f>
        <v>-</v>
      </c>
      <c r="D25" s="25"/>
      <c r="E25" s="28" t="str">
        <f>IFERROR(tblInvoice[[#This Row],[QUANTITY]] * VLOOKUP(tblInvoice[[#This Row],[CODE]],tblProduct[],3,FALSE),"-")</f>
        <v>-</v>
      </c>
    </row>
    <row r="26" spans="2:5" ht="30" customHeight="1" x14ac:dyDescent="0.2">
      <c r="B26" s="9"/>
      <c r="C26" s="27" t="str">
        <f>IFERROR(VLOOKUP(tblInvoice[[#This Row],[CODE]],tblProduct[],2,FALSE),"-")</f>
        <v>-</v>
      </c>
      <c r="D26" s="25"/>
      <c r="E26" s="28" t="str">
        <f>IFERROR(tblInvoice[[#This Row],[QUANTITY]] * VLOOKUP(tblInvoice[[#This Row],[CODE]],tblProduct[],3,FALSE),"-")</f>
        <v>-</v>
      </c>
    </row>
    <row r="27" spans="2:5" ht="30" customHeight="1" x14ac:dyDescent="0.2">
      <c r="B27" s="9"/>
      <c r="C27" s="27" t="str">
        <f>IFERROR(VLOOKUP(tblInvoice[[#This Row],[CODE]],tblProduct[],2,FALSE),"-")</f>
        <v>-</v>
      </c>
      <c r="D27" s="25"/>
      <c r="E27" s="28" t="str">
        <f>IFERROR(tblInvoice[[#This Row],[QUANTITY]] * VLOOKUP(tblInvoice[[#This Row],[CODE]],tblProduct[],3,FALSE),"-")</f>
        <v>-</v>
      </c>
    </row>
    <row r="28" spans="2:5" ht="30" customHeight="1" x14ac:dyDescent="0.2">
      <c r="C28" s="29" t="s">
        <v>8</v>
      </c>
      <c r="D28"/>
      <c r="E28" s="30">
        <f>SUBTOTAL(109,tblInvoice[AMOUNT])</f>
        <v>0</v>
      </c>
    </row>
    <row r="29" spans="2:5" ht="30" customHeight="1" x14ac:dyDescent="0.2">
      <c r="C29" s="8"/>
      <c r="D29" s="8"/>
      <c r="E29" s="14"/>
    </row>
    <row r="30" spans="2:5" ht="30" customHeight="1" x14ac:dyDescent="0.2">
      <c r="B30" s="36" t="str">
        <f>"Make all checks payable to "&amp;Company_Name&amp;""</f>
        <v>Make all checks payable to TechNova Solutions LLC</v>
      </c>
      <c r="C30" s="36"/>
      <c r="D30" s="36"/>
      <c r="E30" s="36"/>
    </row>
    <row r="31" spans="2:5" ht="30" customHeight="1" x14ac:dyDescent="0.2">
      <c r="B31" s="36" t="s">
        <v>483</v>
      </c>
      <c r="C31" s="36"/>
      <c r="D31" s="36"/>
      <c r="E31" s="36"/>
    </row>
    <row r="32" spans="2:5" ht="30" customHeight="1" x14ac:dyDescent="0.25">
      <c r="B32" s="37" t="s">
        <v>12</v>
      </c>
      <c r="C32" s="37"/>
      <c r="D32" s="37"/>
      <c r="E32" s="37"/>
    </row>
  </sheetData>
  <mergeCells count="4">
    <mergeCell ref="B31:E31"/>
    <mergeCell ref="B32:E32"/>
    <mergeCell ref="B30:E30"/>
    <mergeCell ref="D1:E1"/>
  </mergeCells>
  <phoneticPr fontId="0" type="noConversion"/>
  <dataValidations count="23">
    <dataValidation allowBlank="1" showInputMessage="1" showErrorMessage="1" prompt="Company name is automatically appended in this cell" sqref="B30" xr:uid="{00000000-0002-0000-0000-000000000000}"/>
    <dataValidation allowBlank="1" showInputMessage="1" showErrorMessage="1" prompt="Enter invoicing company Contact Name, Phone Number, and Email in this cell" sqref="B31:E31" xr:uid="{00000000-0002-0000-0000-000001000000}"/>
    <dataValidation allowBlank="1" showInputMessage="1" showErrorMessage="1" prompt="Enter Amount in this column under this heading for each description in column B. The last cell of the table contains the Total Due amount" sqref="E12" xr:uid="{00000000-0002-0000-0000-000002000000}"/>
    <dataValidation allowBlank="1" showInputMessage="1" showErrorMessage="1" prompt="Enter custom field in this heading and corresponding data in this column under this heading" sqref="C12:D12" xr:uid="{00000000-0002-0000-0000-000003000000}"/>
    <dataValidation allowBlank="1" showInputMessage="1" showErrorMessage="1" prompt="Enter invoice Descriptions in this column under this heading" sqref="B12" xr:uid="{00000000-0002-0000-0000-000004000000}"/>
    <dataValidation allowBlank="1" showInputMessage="1" showErrorMessage="1" prompt="Enter Company Name in this cell" sqref="B8" xr:uid="{00000000-0002-0000-0000-000006000000}"/>
    <dataValidation allowBlank="1" showInputMessage="1" showErrorMessage="1" prompt="Enter customer Street Address in this cell" sqref="B9" xr:uid="{00000000-0002-0000-0000-000007000000}"/>
    <dataValidation allowBlank="1" showInputMessage="1" showErrorMessage="1" prompt="Enter customer City, State, and Zip Code in this cell" sqref="B10" xr:uid="{00000000-0002-0000-0000-000008000000}"/>
    <dataValidation allowBlank="1" showInputMessage="1" showErrorMessage="1" prompt="Enter customer Phone number in this cell" sqref="B11" xr:uid="{00000000-0002-0000-0000-000009000000}"/>
    <dataValidation allowBlank="1" showInputMessage="1" showErrorMessage="1" prompt="Enter customer Name, Company Name, Street Address and Phone number in cells below" sqref="B6" xr:uid="{00000000-0002-0000-0000-00000A000000}"/>
    <dataValidation allowBlank="1" showInputMessage="1" showErrorMessage="1" prompt="Enter Phone and Fax numbers within the brackets in this cell" sqref="B5" xr:uid="{00000000-0002-0000-0000-00000B000000}"/>
    <dataValidation allowBlank="1" showInputMessage="1" showErrorMessage="1" prompt="Enter City, State, and Zip Code in this cell" sqref="B4" xr:uid="{00000000-0002-0000-0000-00000C000000}"/>
    <dataValidation allowBlank="1" showInputMessage="1" showErrorMessage="1" prompt="Enter invoicing company Street Address in this cell" sqref="B3" xr:uid="{00000000-0002-0000-0000-00000D000000}"/>
    <dataValidation allowBlank="1" showInputMessage="1" showErrorMessage="1" prompt="Enter Company Slogan in this cell and company address in cells below" sqref="B2" xr:uid="{00000000-0002-0000-0000-00000E000000}"/>
    <dataValidation allowBlank="1" showInputMessage="1" showErrorMessage="1" prompt="Enter invoice product description in this cell" sqref="E5" xr:uid="{00000000-0002-0000-0000-00000F000000}"/>
    <dataValidation allowBlank="1" showInputMessage="1" showErrorMessage="1" prompt="Enter invoice product description in cell at right" sqref="C5:D5" xr:uid="{00000000-0002-0000-0000-000010000000}"/>
    <dataValidation allowBlank="1" showInputMessage="1" showErrorMessage="1" prompt="Enter Invoice Number in cell at right" sqref="C4:D4" xr:uid="{00000000-0002-0000-0000-000011000000}"/>
    <dataValidation allowBlank="1" showInputMessage="1" showErrorMessage="1" prompt="Enter Invoice Number in this cell" sqref="E4" xr:uid="{00000000-0002-0000-0000-000012000000}"/>
    <dataValidation allowBlank="1" showInputMessage="1" showErrorMessage="1" prompt="Enter invoice Date in cell at right" sqref="C3:D3" xr:uid="{00000000-0002-0000-0000-000013000000}"/>
    <dataValidation allowBlank="1" showInputMessage="1" showErrorMessage="1" prompt="Enter invoice Date in this cell" sqref="E3" xr:uid="{00000000-0002-0000-0000-000014000000}"/>
    <dataValidation allowBlank="1" showInputMessage="1" showErrorMessage="1" prompt="Enter invoicing Company Name in this cell and slogan in cell below" sqref="B1" xr:uid="{00000000-0002-0000-0000-000015000000}"/>
    <dataValidation allowBlank="1" showInputMessage="1" showErrorMessage="1" prompt="Create an Invoice that calculates total in this worksheet. Enter company and customer details, and descriptions and amounts in Invoice table. Total due is automatically calculated" sqref="A1" xr:uid="{00000000-0002-0000-0000-000016000000}"/>
    <dataValidation allowBlank="1" showInputMessage="1" showErrorMessage="1" prompt="Title of this worksheet is in this cell. Enter Invoice details in cells C3 to D5" sqref="C1:D1" xr:uid="{00000000-0002-0000-0000-000017000000}"/>
  </dataValidations>
  <printOptions horizontalCentered="1"/>
  <pageMargins left="0.5" right="0.5" top="0.5" bottom="0.5" header="0.5" footer="0.5"/>
  <pageSetup scale="91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Enter customer Name in this cell" xr:uid="{00000000-0002-0000-0000-000005000000}">
          <x14:formula1>
            <xm:f>Customers!$A$2:$A$67</xm:f>
          </x14:formula1>
          <xm:sqref>B7</xm:sqref>
        </x14:dataValidation>
        <x14:dataValidation type="list" allowBlank="1" showInputMessage="1" showErrorMessage="1" xr:uid="{BB405C2D-6058-4026-AFBA-B0BA026FAFB6}">
          <x14:formula1>
            <xm:f>Product!$A$2:$A$67</xm:f>
          </x14:formula1>
          <xm:sqref>B13:B27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0C47-9C79-4929-AD25-190BF1929CC3}">
  <sheetPr codeName="Sheet2"/>
  <dimension ref="A1:H14"/>
  <sheetViews>
    <sheetView topLeftCell="A3" zoomScale="130" zoomScaleNormal="130" workbookViewId="0">
      <selection activeCell="A14" sqref="A14"/>
    </sheetView>
  </sheetViews>
  <sheetFormatPr defaultRowHeight="14.25" x14ac:dyDescent="0.2"/>
  <cols>
    <col min="1" max="1" width="12.5" customWidth="1"/>
    <col min="2" max="2" width="3.375" customWidth="1"/>
    <col min="3" max="3" width="16.875" customWidth="1"/>
    <col min="4" max="4" width="13.625" customWidth="1"/>
    <col min="5" max="5" width="12.25" customWidth="1"/>
    <col min="6" max="6" width="8.875" customWidth="1"/>
    <col min="7" max="7" width="11.5" customWidth="1"/>
    <col min="8" max="8" width="41.5" customWidth="1"/>
  </cols>
  <sheetData>
    <row r="1" spans="1:8" ht="20.25" customHeight="1" x14ac:dyDescent="0.2">
      <c r="A1" s="18" t="s">
        <v>470</v>
      </c>
      <c r="B1" s="18" t="s">
        <v>468</v>
      </c>
      <c r="C1" s="18" t="s">
        <v>469</v>
      </c>
      <c r="D1" s="18" t="s">
        <v>351</v>
      </c>
      <c r="E1" s="18" t="s">
        <v>352</v>
      </c>
      <c r="F1" s="18" t="s">
        <v>471</v>
      </c>
      <c r="G1" s="18" t="s">
        <v>472</v>
      </c>
      <c r="H1" s="18" t="s">
        <v>473</v>
      </c>
    </row>
    <row r="2" spans="1:8" ht="17.25" customHeight="1" x14ac:dyDescent="0.2">
      <c r="A2" s="26">
        <v>46103</v>
      </c>
      <c r="B2" s="32">
        <v>1</v>
      </c>
      <c r="C2" t="s">
        <v>24</v>
      </c>
      <c r="D2" t="s">
        <v>356</v>
      </c>
      <c r="E2" t="s">
        <v>357</v>
      </c>
      <c r="F2" s="32">
        <v>22</v>
      </c>
      <c r="G2">
        <v>21848.639999999999</v>
      </c>
      <c r="H2" s="33" t="s">
        <v>474</v>
      </c>
    </row>
    <row r="3" spans="1:8" x14ac:dyDescent="0.2">
      <c r="A3" s="26">
        <v>46103</v>
      </c>
      <c r="B3" s="32">
        <v>2</v>
      </c>
      <c r="C3" t="s">
        <v>36</v>
      </c>
      <c r="D3" t="s">
        <v>362</v>
      </c>
      <c r="E3" t="s">
        <v>363</v>
      </c>
      <c r="F3" s="32">
        <v>2</v>
      </c>
      <c r="G3">
        <v>2467.7199999999998</v>
      </c>
      <c r="H3" s="33" t="s">
        <v>475</v>
      </c>
    </row>
    <row r="4" spans="1:8" x14ac:dyDescent="0.2">
      <c r="A4" s="26">
        <v>46103</v>
      </c>
      <c r="B4" s="32">
        <v>2</v>
      </c>
      <c r="C4" t="s">
        <v>36</v>
      </c>
      <c r="D4" t="s">
        <v>366</v>
      </c>
      <c r="E4" t="s">
        <v>367</v>
      </c>
      <c r="F4" s="32">
        <v>11</v>
      </c>
      <c r="G4">
        <v>6357.34</v>
      </c>
      <c r="H4" s="33" t="s">
        <v>475</v>
      </c>
    </row>
    <row r="5" spans="1:8" ht="15" customHeight="1" x14ac:dyDescent="0.2">
      <c r="A5" s="26">
        <v>46103</v>
      </c>
      <c r="B5" s="32">
        <v>3</v>
      </c>
      <c r="C5" t="s">
        <v>65</v>
      </c>
      <c r="D5" t="s">
        <v>382</v>
      </c>
      <c r="E5" t="s">
        <v>383</v>
      </c>
      <c r="F5" s="32">
        <v>44</v>
      </c>
      <c r="G5">
        <v>7927.04</v>
      </c>
      <c r="H5" s="33" t="s">
        <v>476</v>
      </c>
    </row>
    <row r="6" spans="1:8" x14ac:dyDescent="0.2">
      <c r="A6" s="26">
        <v>46103</v>
      </c>
      <c r="B6" s="32">
        <v>4</v>
      </c>
      <c r="C6" t="s">
        <v>336</v>
      </c>
      <c r="D6" t="s">
        <v>392</v>
      </c>
      <c r="E6" t="s">
        <v>393</v>
      </c>
      <c r="F6" s="32">
        <v>11</v>
      </c>
      <c r="G6">
        <v>7711</v>
      </c>
      <c r="H6" s="33" t="s">
        <v>477</v>
      </c>
    </row>
    <row r="7" spans="1:8" x14ac:dyDescent="0.2">
      <c r="A7" s="26">
        <v>46103</v>
      </c>
      <c r="B7" s="32">
        <v>5</v>
      </c>
      <c r="C7" t="s">
        <v>172</v>
      </c>
      <c r="D7" t="s">
        <v>360</v>
      </c>
      <c r="E7" t="s">
        <v>361</v>
      </c>
      <c r="F7" s="32">
        <v>21</v>
      </c>
      <c r="G7">
        <v>4228.9799999999996</v>
      </c>
      <c r="H7" s="33" t="s">
        <v>478</v>
      </c>
    </row>
    <row r="8" spans="1:8" x14ac:dyDescent="0.2">
      <c r="A8" s="26">
        <v>46103</v>
      </c>
      <c r="B8" s="32">
        <v>5</v>
      </c>
      <c r="C8" t="s">
        <v>172</v>
      </c>
      <c r="D8" t="s">
        <v>378</v>
      </c>
      <c r="E8" t="s">
        <v>379</v>
      </c>
      <c r="F8" s="32">
        <v>44</v>
      </c>
      <c r="G8">
        <v>63088.52</v>
      </c>
      <c r="H8" s="33" t="s">
        <v>478</v>
      </c>
    </row>
    <row r="9" spans="1:8" ht="14.25" customHeight="1" x14ac:dyDescent="0.2">
      <c r="A9" s="26">
        <v>46103</v>
      </c>
      <c r="B9" s="32">
        <v>6</v>
      </c>
      <c r="C9" t="s">
        <v>42</v>
      </c>
      <c r="D9" t="s">
        <v>403</v>
      </c>
      <c r="E9" t="s">
        <v>404</v>
      </c>
      <c r="F9" s="32">
        <v>2</v>
      </c>
      <c r="G9">
        <v>2356.6</v>
      </c>
      <c r="H9" s="33" t="s">
        <v>479</v>
      </c>
    </row>
    <row r="10" spans="1:8" ht="17.25" customHeight="1" x14ac:dyDescent="0.2">
      <c r="A10" s="26">
        <v>46103</v>
      </c>
      <c r="B10" s="32">
        <v>7</v>
      </c>
      <c r="C10" t="s">
        <v>76</v>
      </c>
      <c r="D10" t="s">
        <v>412</v>
      </c>
      <c r="E10" t="s">
        <v>413</v>
      </c>
      <c r="F10" s="32">
        <v>2</v>
      </c>
      <c r="G10">
        <v>1785.56</v>
      </c>
      <c r="H10" s="33" t="s">
        <v>480</v>
      </c>
    </row>
    <row r="11" spans="1:8" ht="16.5" customHeight="1" x14ac:dyDescent="0.2">
      <c r="A11" s="26">
        <v>46103</v>
      </c>
      <c r="B11" s="32">
        <v>7</v>
      </c>
      <c r="C11" t="s">
        <v>76</v>
      </c>
      <c r="D11" t="s">
        <v>358</v>
      </c>
      <c r="E11" t="s">
        <v>359</v>
      </c>
      <c r="F11" s="32">
        <v>3</v>
      </c>
      <c r="G11">
        <v>3288.12</v>
      </c>
      <c r="H11" s="33" t="s">
        <v>480</v>
      </c>
    </row>
    <row r="12" spans="1:8" ht="15" customHeight="1" x14ac:dyDescent="0.2">
      <c r="A12" s="26">
        <v>46103</v>
      </c>
      <c r="B12" s="32">
        <v>7</v>
      </c>
      <c r="C12" t="s">
        <v>76</v>
      </c>
      <c r="D12" t="s">
        <v>380</v>
      </c>
      <c r="E12" t="s">
        <v>381</v>
      </c>
      <c r="F12" s="32">
        <v>3</v>
      </c>
      <c r="G12">
        <v>1249.1399999999999</v>
      </c>
      <c r="H12" s="33" t="s">
        <v>480</v>
      </c>
    </row>
    <row r="13" spans="1:8" x14ac:dyDescent="0.2">
      <c r="A13" s="26">
        <v>46104</v>
      </c>
      <c r="B13" s="32">
        <v>8</v>
      </c>
      <c r="C13" t="s">
        <v>236</v>
      </c>
      <c r="D13" t="s">
        <v>398</v>
      </c>
      <c r="E13" t="s">
        <v>399</v>
      </c>
      <c r="F13" s="32">
        <v>12</v>
      </c>
      <c r="G13">
        <v>1410.24</v>
      </c>
      <c r="H13" t="s">
        <v>481</v>
      </c>
    </row>
    <row r="14" spans="1:8" x14ac:dyDescent="0.2">
      <c r="A14" s="26">
        <v>46106</v>
      </c>
      <c r="B14" s="32">
        <v>9</v>
      </c>
      <c r="C14" t="s">
        <v>53</v>
      </c>
      <c r="D14" t="s">
        <v>384</v>
      </c>
      <c r="E14" t="s">
        <v>385</v>
      </c>
      <c r="F14" s="32">
        <v>55</v>
      </c>
      <c r="G14">
        <v>27456</v>
      </c>
      <c r="H14" t="s">
        <v>482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CF488-D3D8-49A4-8096-C141154F6A22}">
  <sheetPr codeName="Sheet3"/>
  <dimension ref="A1:F67"/>
  <sheetViews>
    <sheetView workbookViewId="0">
      <selection activeCell="C75" sqref="C75"/>
    </sheetView>
  </sheetViews>
  <sheetFormatPr defaultRowHeight="14.25" x14ac:dyDescent="0.2"/>
  <cols>
    <col min="1" max="1" width="16.375" customWidth="1"/>
    <col min="2" max="2" width="21.625" customWidth="1"/>
    <col min="3" max="4" width="14.25" customWidth="1"/>
    <col min="5" max="5" width="14.625" customWidth="1"/>
    <col min="6" max="6" width="15.875" customWidth="1"/>
  </cols>
  <sheetData>
    <row r="1" spans="1:6" x14ac:dyDescent="0.2">
      <c r="A1" s="24" t="s">
        <v>4</v>
      </c>
      <c r="B1" s="24" t="s">
        <v>10</v>
      </c>
      <c r="C1" s="24" t="s">
        <v>21</v>
      </c>
      <c r="D1" s="24" t="s">
        <v>22</v>
      </c>
      <c r="E1" s="24" t="s">
        <v>23</v>
      </c>
      <c r="F1" s="24" t="s">
        <v>5</v>
      </c>
    </row>
    <row r="2" spans="1:6" x14ac:dyDescent="0.2">
      <c r="A2" s="22" t="s">
        <v>24</v>
      </c>
      <c r="B2" s="22" t="s">
        <v>25</v>
      </c>
      <c r="C2" s="22" t="s">
        <v>26</v>
      </c>
      <c r="D2" s="22" t="s">
        <v>27</v>
      </c>
      <c r="E2" s="22" t="s">
        <v>28</v>
      </c>
      <c r="F2" s="22" t="s">
        <v>29</v>
      </c>
    </row>
    <row r="3" spans="1:6" x14ac:dyDescent="0.2">
      <c r="A3" s="22" t="s">
        <v>30</v>
      </c>
      <c r="B3" s="22" t="s">
        <v>31</v>
      </c>
      <c r="C3" s="22" t="s">
        <v>32</v>
      </c>
      <c r="D3" s="22" t="s">
        <v>33</v>
      </c>
      <c r="E3" s="22" t="s">
        <v>34</v>
      </c>
      <c r="F3" s="22" t="s">
        <v>35</v>
      </c>
    </row>
    <row r="4" spans="1:6" x14ac:dyDescent="0.2">
      <c r="A4" s="22" t="s">
        <v>36</v>
      </c>
      <c r="B4" s="22" t="s">
        <v>37</v>
      </c>
      <c r="C4" s="22" t="s">
        <v>38</v>
      </c>
      <c r="D4" s="22" t="s">
        <v>39</v>
      </c>
      <c r="E4" s="22" t="s">
        <v>40</v>
      </c>
      <c r="F4" s="22" t="s">
        <v>41</v>
      </c>
    </row>
    <row r="5" spans="1:6" x14ac:dyDescent="0.2">
      <c r="A5" s="22" t="s">
        <v>42</v>
      </c>
      <c r="B5" s="22" t="s">
        <v>43</v>
      </c>
      <c r="C5" s="22" t="s">
        <v>44</v>
      </c>
      <c r="D5" s="22" t="s">
        <v>45</v>
      </c>
      <c r="E5" s="22" t="s">
        <v>46</v>
      </c>
      <c r="F5" s="22" t="s">
        <v>47</v>
      </c>
    </row>
    <row r="6" spans="1:6" x14ac:dyDescent="0.2">
      <c r="A6" s="22" t="s">
        <v>48</v>
      </c>
      <c r="B6" s="22" t="s">
        <v>49</v>
      </c>
      <c r="C6" s="22" t="s">
        <v>50</v>
      </c>
      <c r="D6" s="22" t="s">
        <v>45</v>
      </c>
      <c r="E6" s="22" t="s">
        <v>51</v>
      </c>
      <c r="F6" s="22" t="s">
        <v>52</v>
      </c>
    </row>
    <row r="7" spans="1:6" x14ac:dyDescent="0.2">
      <c r="A7" s="22" t="s">
        <v>53</v>
      </c>
      <c r="B7" s="22" t="s">
        <v>54</v>
      </c>
      <c r="C7" s="22" t="s">
        <v>55</v>
      </c>
      <c r="D7" s="22" t="s">
        <v>56</v>
      </c>
      <c r="E7" s="22" t="s">
        <v>57</v>
      </c>
      <c r="F7" s="22" t="s">
        <v>58</v>
      </c>
    </row>
    <row r="8" spans="1:6" x14ac:dyDescent="0.2">
      <c r="A8" s="22" t="s">
        <v>59</v>
      </c>
      <c r="B8" s="22" t="s">
        <v>60</v>
      </c>
      <c r="C8" s="22" t="s">
        <v>61</v>
      </c>
      <c r="D8" s="22" t="s">
        <v>62</v>
      </c>
      <c r="E8" s="22" t="s">
        <v>63</v>
      </c>
      <c r="F8" s="22" t="s">
        <v>64</v>
      </c>
    </row>
    <row r="9" spans="1:6" x14ac:dyDescent="0.2">
      <c r="A9" s="22" t="s">
        <v>65</v>
      </c>
      <c r="B9" s="22" t="s">
        <v>66</v>
      </c>
      <c r="C9" s="22" t="s">
        <v>67</v>
      </c>
      <c r="D9" s="22" t="s">
        <v>68</v>
      </c>
      <c r="E9" s="22" t="s">
        <v>69</v>
      </c>
      <c r="F9" s="22" t="s">
        <v>70</v>
      </c>
    </row>
    <row r="10" spans="1:6" x14ac:dyDescent="0.2">
      <c r="A10" s="22" t="s">
        <v>71</v>
      </c>
      <c r="B10" s="22" t="s">
        <v>72</v>
      </c>
      <c r="C10" s="22" t="s">
        <v>73</v>
      </c>
      <c r="D10" s="22" t="s">
        <v>45</v>
      </c>
      <c r="E10" s="22" t="s">
        <v>74</v>
      </c>
      <c r="F10" s="22" t="s">
        <v>75</v>
      </c>
    </row>
    <row r="11" spans="1:6" x14ac:dyDescent="0.2">
      <c r="A11" s="22" t="s">
        <v>76</v>
      </c>
      <c r="B11" s="22" t="s">
        <v>77</v>
      </c>
      <c r="C11" s="22" t="s">
        <v>78</v>
      </c>
      <c r="D11" s="22" t="s">
        <v>39</v>
      </c>
      <c r="E11" s="22" t="s">
        <v>79</v>
      </c>
      <c r="F11" s="22" t="s">
        <v>80</v>
      </c>
    </row>
    <row r="12" spans="1:6" x14ac:dyDescent="0.2">
      <c r="A12" s="22" t="s">
        <v>81</v>
      </c>
      <c r="B12" s="22" t="s">
        <v>82</v>
      </c>
      <c r="C12" s="22" t="s">
        <v>83</v>
      </c>
      <c r="D12" s="22" t="s">
        <v>39</v>
      </c>
      <c r="E12" s="22" t="s">
        <v>84</v>
      </c>
      <c r="F12" s="22" t="s">
        <v>85</v>
      </c>
    </row>
    <row r="13" spans="1:6" x14ac:dyDescent="0.2">
      <c r="A13" s="22" t="s">
        <v>86</v>
      </c>
      <c r="B13" s="22" t="s">
        <v>87</v>
      </c>
      <c r="C13" s="22" t="s">
        <v>88</v>
      </c>
      <c r="D13" s="22" t="s">
        <v>89</v>
      </c>
      <c r="E13" s="22" t="s">
        <v>90</v>
      </c>
      <c r="F13" s="22" t="s">
        <v>91</v>
      </c>
    </row>
    <row r="14" spans="1:6" x14ac:dyDescent="0.2">
      <c r="A14" s="22" t="s">
        <v>92</v>
      </c>
      <c r="B14" s="22" t="s">
        <v>93</v>
      </c>
      <c r="C14" s="22" t="s">
        <v>94</v>
      </c>
      <c r="D14" s="22" t="s">
        <v>62</v>
      </c>
      <c r="E14" s="22" t="s">
        <v>95</v>
      </c>
      <c r="F14" s="22" t="s">
        <v>96</v>
      </c>
    </row>
    <row r="15" spans="1:6" x14ac:dyDescent="0.2">
      <c r="A15" s="22" t="s">
        <v>97</v>
      </c>
      <c r="B15" s="22" t="s">
        <v>98</v>
      </c>
      <c r="C15" s="22" t="s">
        <v>99</v>
      </c>
      <c r="D15" s="22" t="s">
        <v>68</v>
      </c>
      <c r="E15" s="22" t="s">
        <v>100</v>
      </c>
      <c r="F15" s="22" t="s">
        <v>101</v>
      </c>
    </row>
    <row r="16" spans="1:6" x14ac:dyDescent="0.2">
      <c r="A16" s="22" t="s">
        <v>102</v>
      </c>
      <c r="B16" s="22" t="s">
        <v>103</v>
      </c>
      <c r="C16" s="22" t="s">
        <v>104</v>
      </c>
      <c r="D16" s="22" t="s">
        <v>39</v>
      </c>
      <c r="E16" s="22" t="s">
        <v>105</v>
      </c>
      <c r="F16" s="22" t="s">
        <v>106</v>
      </c>
    </row>
    <row r="17" spans="1:6" x14ac:dyDescent="0.2">
      <c r="A17" s="22" t="s">
        <v>107</v>
      </c>
      <c r="B17" s="22" t="s">
        <v>108</v>
      </c>
      <c r="C17" s="22" t="s">
        <v>109</v>
      </c>
      <c r="D17" s="22" t="s">
        <v>33</v>
      </c>
      <c r="E17" s="22" t="s">
        <v>110</v>
      </c>
      <c r="F17" s="22" t="s">
        <v>111</v>
      </c>
    </row>
    <row r="18" spans="1:6" x14ac:dyDescent="0.2">
      <c r="A18" s="22" t="s">
        <v>112</v>
      </c>
      <c r="B18" s="22" t="s">
        <v>113</v>
      </c>
      <c r="C18" s="22" t="s">
        <v>114</v>
      </c>
      <c r="D18" s="22" t="s">
        <v>68</v>
      </c>
      <c r="E18" s="22" t="s">
        <v>115</v>
      </c>
      <c r="F18" s="22" t="s">
        <v>116</v>
      </c>
    </row>
    <row r="19" spans="1:6" x14ac:dyDescent="0.2">
      <c r="A19" s="22" t="s">
        <v>92</v>
      </c>
      <c r="B19" s="22" t="s">
        <v>117</v>
      </c>
      <c r="C19" s="22" t="s">
        <v>118</v>
      </c>
      <c r="D19" s="22" t="s">
        <v>119</v>
      </c>
      <c r="E19" s="22" t="s">
        <v>120</v>
      </c>
      <c r="F19" s="22" t="s">
        <v>121</v>
      </c>
    </row>
    <row r="20" spans="1:6" x14ac:dyDescent="0.2">
      <c r="A20" s="22" t="s">
        <v>122</v>
      </c>
      <c r="B20" s="22" t="s">
        <v>123</v>
      </c>
      <c r="C20" s="22" t="s">
        <v>124</v>
      </c>
      <c r="D20" s="22" t="s">
        <v>89</v>
      </c>
      <c r="E20" s="22" t="s">
        <v>125</v>
      </c>
      <c r="F20" s="22" t="s">
        <v>126</v>
      </c>
    </row>
    <row r="21" spans="1:6" x14ac:dyDescent="0.2">
      <c r="A21" s="22" t="s">
        <v>127</v>
      </c>
      <c r="B21" s="22" t="s">
        <v>128</v>
      </c>
      <c r="C21" s="22" t="s">
        <v>129</v>
      </c>
      <c r="D21" s="22" t="s">
        <v>33</v>
      </c>
      <c r="E21" s="22" t="s">
        <v>130</v>
      </c>
      <c r="F21" s="22" t="s">
        <v>131</v>
      </c>
    </row>
    <row r="22" spans="1:6" x14ac:dyDescent="0.2">
      <c r="A22" s="22" t="s">
        <v>92</v>
      </c>
      <c r="B22" s="22" t="s">
        <v>132</v>
      </c>
      <c r="C22" s="22" t="s">
        <v>133</v>
      </c>
      <c r="D22" s="22" t="s">
        <v>33</v>
      </c>
      <c r="E22" s="22" t="s">
        <v>134</v>
      </c>
      <c r="F22" s="22" t="s">
        <v>135</v>
      </c>
    </row>
    <row r="23" spans="1:6" x14ac:dyDescent="0.2">
      <c r="A23" s="22" t="s">
        <v>136</v>
      </c>
      <c r="B23" s="22" t="s">
        <v>137</v>
      </c>
      <c r="C23" s="22" t="s">
        <v>138</v>
      </c>
      <c r="D23" s="22" t="s">
        <v>39</v>
      </c>
      <c r="E23" s="22" t="s">
        <v>139</v>
      </c>
      <c r="F23" s="22" t="s">
        <v>140</v>
      </c>
    </row>
    <row r="24" spans="1:6" x14ac:dyDescent="0.2">
      <c r="A24" s="22" t="s">
        <v>141</v>
      </c>
      <c r="B24" s="22" t="s">
        <v>142</v>
      </c>
      <c r="C24" s="22" t="s">
        <v>143</v>
      </c>
      <c r="D24" s="22" t="s">
        <v>39</v>
      </c>
      <c r="E24" s="22" t="s">
        <v>144</v>
      </c>
      <c r="F24" s="22" t="s">
        <v>145</v>
      </c>
    </row>
    <row r="25" spans="1:6" x14ac:dyDescent="0.2">
      <c r="A25" s="22" t="s">
        <v>146</v>
      </c>
      <c r="B25" s="22" t="s">
        <v>147</v>
      </c>
      <c r="C25" s="22" t="s">
        <v>148</v>
      </c>
      <c r="D25" s="22" t="s">
        <v>27</v>
      </c>
      <c r="E25" s="22" t="s">
        <v>149</v>
      </c>
      <c r="F25" s="22" t="s">
        <v>150</v>
      </c>
    </row>
    <row r="26" spans="1:6" x14ac:dyDescent="0.2">
      <c r="A26" s="22" t="s">
        <v>151</v>
      </c>
      <c r="B26" s="22" t="s">
        <v>152</v>
      </c>
      <c r="C26" s="22" t="s">
        <v>153</v>
      </c>
      <c r="D26" s="22" t="s">
        <v>45</v>
      </c>
      <c r="E26" s="22" t="s">
        <v>154</v>
      </c>
      <c r="F26" s="22" t="s">
        <v>155</v>
      </c>
    </row>
    <row r="27" spans="1:6" x14ac:dyDescent="0.2">
      <c r="A27" s="22" t="s">
        <v>156</v>
      </c>
      <c r="B27" s="22" t="s">
        <v>157</v>
      </c>
      <c r="C27" s="22" t="s">
        <v>158</v>
      </c>
      <c r="D27" s="22" t="s">
        <v>68</v>
      </c>
      <c r="E27" s="22" t="s">
        <v>159</v>
      </c>
      <c r="F27" s="22" t="s">
        <v>160</v>
      </c>
    </row>
    <row r="28" spans="1:6" x14ac:dyDescent="0.2">
      <c r="A28" s="22" t="s">
        <v>161</v>
      </c>
      <c r="B28" s="22" t="s">
        <v>162</v>
      </c>
      <c r="C28" s="22" t="s">
        <v>163</v>
      </c>
      <c r="D28" s="22" t="s">
        <v>45</v>
      </c>
      <c r="E28" s="22" t="s">
        <v>164</v>
      </c>
      <c r="F28" s="22" t="s">
        <v>165</v>
      </c>
    </row>
    <row r="29" spans="1:6" x14ac:dyDescent="0.2">
      <c r="A29" s="22" t="s">
        <v>166</v>
      </c>
      <c r="B29" s="22" t="s">
        <v>167</v>
      </c>
      <c r="C29" s="22" t="s">
        <v>168</v>
      </c>
      <c r="D29" s="22" t="s">
        <v>169</v>
      </c>
      <c r="E29" s="22" t="s">
        <v>170</v>
      </c>
      <c r="F29" s="22" t="s">
        <v>171</v>
      </c>
    </row>
    <row r="30" spans="1:6" x14ac:dyDescent="0.2">
      <c r="A30" s="22" t="s">
        <v>172</v>
      </c>
      <c r="B30" s="22" t="s">
        <v>87</v>
      </c>
      <c r="C30" s="22" t="s">
        <v>173</v>
      </c>
      <c r="D30" s="22" t="s">
        <v>169</v>
      </c>
      <c r="E30" s="22" t="s">
        <v>174</v>
      </c>
      <c r="F30" s="22" t="s">
        <v>175</v>
      </c>
    </row>
    <row r="31" spans="1:6" x14ac:dyDescent="0.2">
      <c r="A31" s="23" t="s">
        <v>176</v>
      </c>
      <c r="B31" s="23" t="s">
        <v>177</v>
      </c>
      <c r="C31" s="23" t="s">
        <v>178</v>
      </c>
      <c r="D31" s="23" t="s">
        <v>39</v>
      </c>
      <c r="E31" s="23" t="s">
        <v>179</v>
      </c>
      <c r="F31" s="23" t="s">
        <v>180</v>
      </c>
    </row>
    <row r="32" spans="1:6" x14ac:dyDescent="0.2">
      <c r="A32" s="23" t="s">
        <v>181</v>
      </c>
      <c r="B32" s="23" t="s">
        <v>182</v>
      </c>
      <c r="C32" s="23" t="s">
        <v>183</v>
      </c>
      <c r="D32" s="23" t="s">
        <v>39</v>
      </c>
      <c r="E32" s="23" t="s">
        <v>184</v>
      </c>
      <c r="F32" s="23" t="s">
        <v>185</v>
      </c>
    </row>
    <row r="33" spans="1:6" x14ac:dyDescent="0.2">
      <c r="A33" s="23" t="s">
        <v>186</v>
      </c>
      <c r="B33" s="23" t="s">
        <v>187</v>
      </c>
      <c r="C33" s="23" t="s">
        <v>188</v>
      </c>
      <c r="D33" s="23" t="s">
        <v>39</v>
      </c>
      <c r="E33" s="23" t="s">
        <v>189</v>
      </c>
      <c r="F33" s="23" t="s">
        <v>190</v>
      </c>
    </row>
    <row r="34" spans="1:6" x14ac:dyDescent="0.2">
      <c r="A34" s="23" t="s">
        <v>81</v>
      </c>
      <c r="B34" s="23" t="s">
        <v>191</v>
      </c>
      <c r="C34" s="23" t="s">
        <v>192</v>
      </c>
      <c r="D34" s="23" t="s">
        <v>33</v>
      </c>
      <c r="E34" s="23" t="s">
        <v>193</v>
      </c>
      <c r="F34" s="23" t="s">
        <v>194</v>
      </c>
    </row>
    <row r="35" spans="1:6" x14ac:dyDescent="0.2">
      <c r="A35" s="23" t="s">
        <v>195</v>
      </c>
      <c r="B35" s="23" t="s">
        <v>196</v>
      </c>
      <c r="C35" s="23" t="s">
        <v>197</v>
      </c>
      <c r="D35" s="23" t="s">
        <v>56</v>
      </c>
      <c r="E35" s="23" t="s">
        <v>198</v>
      </c>
      <c r="F35" s="23" t="s">
        <v>199</v>
      </c>
    </row>
    <row r="36" spans="1:6" x14ac:dyDescent="0.2">
      <c r="A36" s="23" t="s">
        <v>200</v>
      </c>
      <c r="B36" s="23" t="s">
        <v>201</v>
      </c>
      <c r="C36" s="23" t="s">
        <v>202</v>
      </c>
      <c r="D36" s="23" t="s">
        <v>119</v>
      </c>
      <c r="E36" s="23" t="s">
        <v>203</v>
      </c>
      <c r="F36" s="23" t="s">
        <v>204</v>
      </c>
    </row>
    <row r="37" spans="1:6" x14ac:dyDescent="0.2">
      <c r="A37" s="23" t="s">
        <v>205</v>
      </c>
      <c r="B37" s="23" t="s">
        <v>206</v>
      </c>
      <c r="C37" s="23" t="s">
        <v>207</v>
      </c>
      <c r="D37" s="23" t="s">
        <v>119</v>
      </c>
      <c r="E37" s="23" t="s">
        <v>208</v>
      </c>
      <c r="F37" s="23" t="s">
        <v>209</v>
      </c>
    </row>
    <row r="38" spans="1:6" x14ac:dyDescent="0.2">
      <c r="A38" s="23" t="s">
        <v>210</v>
      </c>
      <c r="B38" s="23" t="s">
        <v>211</v>
      </c>
      <c r="C38" s="23" t="s">
        <v>212</v>
      </c>
      <c r="D38" s="23" t="s">
        <v>45</v>
      </c>
      <c r="E38" s="23" t="s">
        <v>213</v>
      </c>
      <c r="F38" s="23" t="s">
        <v>214</v>
      </c>
    </row>
    <row r="39" spans="1:6" x14ac:dyDescent="0.2">
      <c r="A39" s="23" t="s">
        <v>215</v>
      </c>
      <c r="B39" s="23" t="s">
        <v>60</v>
      </c>
      <c r="C39" s="23" t="s">
        <v>216</v>
      </c>
      <c r="D39" s="23" t="s">
        <v>56</v>
      </c>
      <c r="E39" s="23" t="s">
        <v>217</v>
      </c>
      <c r="F39" s="23" t="s">
        <v>218</v>
      </c>
    </row>
    <row r="40" spans="1:6" x14ac:dyDescent="0.2">
      <c r="A40" s="23" t="s">
        <v>219</v>
      </c>
      <c r="B40" s="23" t="s">
        <v>147</v>
      </c>
      <c r="C40" s="23" t="s">
        <v>220</v>
      </c>
      <c r="D40" s="23" t="s">
        <v>39</v>
      </c>
      <c r="E40" s="23" t="s">
        <v>221</v>
      </c>
      <c r="F40" s="23" t="s">
        <v>222</v>
      </c>
    </row>
    <row r="41" spans="1:6" x14ac:dyDescent="0.2">
      <c r="A41" s="23" t="s">
        <v>223</v>
      </c>
      <c r="B41" s="23" t="s">
        <v>224</v>
      </c>
      <c r="C41" s="23" t="s">
        <v>225</v>
      </c>
      <c r="D41" s="23" t="s">
        <v>27</v>
      </c>
      <c r="E41" s="23" t="s">
        <v>226</v>
      </c>
      <c r="F41" s="23" t="s">
        <v>227</v>
      </c>
    </row>
    <row r="42" spans="1:6" x14ac:dyDescent="0.2">
      <c r="A42" s="23" t="s">
        <v>53</v>
      </c>
      <c r="B42" s="23" t="s">
        <v>228</v>
      </c>
      <c r="C42" s="23" t="s">
        <v>229</v>
      </c>
      <c r="D42" s="23" t="s">
        <v>39</v>
      </c>
      <c r="E42" s="23" t="s">
        <v>230</v>
      </c>
      <c r="F42" s="23" t="s">
        <v>231</v>
      </c>
    </row>
    <row r="43" spans="1:6" x14ac:dyDescent="0.2">
      <c r="A43" s="23" t="s">
        <v>151</v>
      </c>
      <c r="B43" s="23" t="s">
        <v>232</v>
      </c>
      <c r="C43" s="23" t="s">
        <v>233</v>
      </c>
      <c r="D43" s="23" t="s">
        <v>56</v>
      </c>
      <c r="E43" s="23" t="s">
        <v>234</v>
      </c>
      <c r="F43" s="23" t="s">
        <v>235</v>
      </c>
    </row>
    <row r="44" spans="1:6" x14ac:dyDescent="0.2">
      <c r="A44" s="23" t="s">
        <v>236</v>
      </c>
      <c r="B44" s="23" t="s">
        <v>237</v>
      </c>
      <c r="C44" s="23" t="s">
        <v>238</v>
      </c>
      <c r="D44" s="23" t="s">
        <v>33</v>
      </c>
      <c r="E44" s="23" t="s">
        <v>239</v>
      </c>
      <c r="F44" s="23" t="s">
        <v>240</v>
      </c>
    </row>
    <row r="45" spans="1:6" x14ac:dyDescent="0.2">
      <c r="A45" s="23" t="s">
        <v>241</v>
      </c>
      <c r="B45" s="23" t="s">
        <v>242</v>
      </c>
      <c r="C45" s="23" t="s">
        <v>243</v>
      </c>
      <c r="D45" s="23" t="s">
        <v>39</v>
      </c>
      <c r="E45" s="23" t="s">
        <v>244</v>
      </c>
      <c r="F45" s="23" t="s">
        <v>245</v>
      </c>
    </row>
    <row r="46" spans="1:6" x14ac:dyDescent="0.2">
      <c r="A46" s="23" t="s">
        <v>246</v>
      </c>
      <c r="B46" s="23" t="s">
        <v>247</v>
      </c>
      <c r="C46" s="23" t="s">
        <v>248</v>
      </c>
      <c r="D46" s="23" t="s">
        <v>56</v>
      </c>
      <c r="E46" s="23" t="s">
        <v>249</v>
      </c>
      <c r="F46" s="23" t="s">
        <v>250</v>
      </c>
    </row>
    <row r="47" spans="1:6" x14ac:dyDescent="0.2">
      <c r="A47" s="23" t="s">
        <v>42</v>
      </c>
      <c r="B47" s="23" t="s">
        <v>251</v>
      </c>
      <c r="C47" s="23" t="s">
        <v>252</v>
      </c>
      <c r="D47" s="23" t="s">
        <v>119</v>
      </c>
      <c r="E47" s="23" t="s">
        <v>253</v>
      </c>
      <c r="F47" s="23" t="s">
        <v>254</v>
      </c>
    </row>
    <row r="48" spans="1:6" x14ac:dyDescent="0.2">
      <c r="A48" s="23" t="s">
        <v>255</v>
      </c>
      <c r="B48" s="23" t="s">
        <v>256</v>
      </c>
      <c r="C48" s="23" t="s">
        <v>257</v>
      </c>
      <c r="D48" s="23" t="s">
        <v>33</v>
      </c>
      <c r="E48" s="23" t="s">
        <v>258</v>
      </c>
      <c r="F48" s="23" t="s">
        <v>259</v>
      </c>
    </row>
    <row r="49" spans="1:6" x14ac:dyDescent="0.2">
      <c r="A49" s="23" t="s">
        <v>260</v>
      </c>
      <c r="B49" s="23" t="s">
        <v>261</v>
      </c>
      <c r="C49" s="23" t="s">
        <v>262</v>
      </c>
      <c r="D49" s="23" t="s">
        <v>27</v>
      </c>
      <c r="E49" s="23" t="s">
        <v>263</v>
      </c>
      <c r="F49" s="23" t="s">
        <v>264</v>
      </c>
    </row>
    <row r="50" spans="1:6" x14ac:dyDescent="0.2">
      <c r="A50" s="23" t="s">
        <v>265</v>
      </c>
      <c r="B50" s="23" t="s">
        <v>266</v>
      </c>
      <c r="C50" s="23" t="s">
        <v>267</v>
      </c>
      <c r="D50" s="23" t="s">
        <v>45</v>
      </c>
      <c r="E50" s="23" t="s">
        <v>268</v>
      </c>
      <c r="F50" s="23" t="s">
        <v>269</v>
      </c>
    </row>
    <row r="51" spans="1:6" x14ac:dyDescent="0.2">
      <c r="A51" s="23" t="s">
        <v>270</v>
      </c>
      <c r="B51" s="23" t="s">
        <v>108</v>
      </c>
      <c r="C51" s="23" t="s">
        <v>271</v>
      </c>
      <c r="D51" s="23" t="s">
        <v>39</v>
      </c>
      <c r="E51" s="23" t="s">
        <v>272</v>
      </c>
      <c r="F51" s="23" t="s">
        <v>273</v>
      </c>
    </row>
    <row r="52" spans="1:6" x14ac:dyDescent="0.2">
      <c r="A52" s="23" t="s">
        <v>274</v>
      </c>
      <c r="B52" s="23" t="s">
        <v>275</v>
      </c>
      <c r="C52" s="23" t="s">
        <v>276</v>
      </c>
      <c r="D52" s="23" t="s">
        <v>45</v>
      </c>
      <c r="E52" s="23" t="s">
        <v>277</v>
      </c>
      <c r="F52" s="23" t="s">
        <v>278</v>
      </c>
    </row>
    <row r="53" spans="1:6" x14ac:dyDescent="0.2">
      <c r="A53" s="23" t="s">
        <v>279</v>
      </c>
      <c r="B53" s="23" t="s">
        <v>280</v>
      </c>
      <c r="C53" s="23" t="s">
        <v>281</v>
      </c>
      <c r="D53" s="23" t="s">
        <v>169</v>
      </c>
      <c r="E53" s="23" t="s">
        <v>282</v>
      </c>
      <c r="F53" s="23" t="s">
        <v>283</v>
      </c>
    </row>
    <row r="54" spans="1:6" x14ac:dyDescent="0.2">
      <c r="A54" s="23" t="s">
        <v>284</v>
      </c>
      <c r="B54" s="23" t="s">
        <v>285</v>
      </c>
      <c r="C54" s="23" t="s">
        <v>286</v>
      </c>
      <c r="D54" s="23" t="s">
        <v>169</v>
      </c>
      <c r="E54" s="23" t="s">
        <v>287</v>
      </c>
      <c r="F54" s="23" t="s">
        <v>288</v>
      </c>
    </row>
    <row r="55" spans="1:6" x14ac:dyDescent="0.2">
      <c r="A55" s="23" t="s">
        <v>289</v>
      </c>
      <c r="B55" s="23" t="s">
        <v>290</v>
      </c>
      <c r="C55" s="23" t="s">
        <v>291</v>
      </c>
      <c r="D55" s="23" t="s">
        <v>89</v>
      </c>
      <c r="E55" s="23" t="s">
        <v>292</v>
      </c>
      <c r="F55" s="23" t="s">
        <v>293</v>
      </c>
    </row>
    <row r="56" spans="1:6" x14ac:dyDescent="0.2">
      <c r="A56" s="23" t="s">
        <v>294</v>
      </c>
      <c r="B56" s="23" t="s">
        <v>295</v>
      </c>
      <c r="C56" s="23" t="s">
        <v>296</v>
      </c>
      <c r="D56" s="23" t="s">
        <v>62</v>
      </c>
      <c r="E56" s="23" t="s">
        <v>297</v>
      </c>
      <c r="F56" s="23" t="s">
        <v>298</v>
      </c>
    </row>
    <row r="57" spans="1:6" x14ac:dyDescent="0.2">
      <c r="A57" s="23" t="s">
        <v>299</v>
      </c>
      <c r="B57" s="23" t="s">
        <v>201</v>
      </c>
      <c r="C57" s="23" t="s">
        <v>300</v>
      </c>
      <c r="D57" s="23" t="s">
        <v>45</v>
      </c>
      <c r="E57" s="23" t="s">
        <v>301</v>
      </c>
      <c r="F57" s="23" t="s">
        <v>302</v>
      </c>
    </row>
    <row r="58" spans="1:6" x14ac:dyDescent="0.2">
      <c r="A58" s="23" t="s">
        <v>303</v>
      </c>
      <c r="B58" s="23" t="s">
        <v>304</v>
      </c>
      <c r="C58" s="23" t="s">
        <v>305</v>
      </c>
      <c r="D58" s="23" t="s">
        <v>169</v>
      </c>
      <c r="E58" s="23" t="s">
        <v>306</v>
      </c>
      <c r="F58" s="23" t="s">
        <v>307</v>
      </c>
    </row>
    <row r="59" spans="1:6" x14ac:dyDescent="0.2">
      <c r="A59" s="23" t="s">
        <v>308</v>
      </c>
      <c r="B59" s="23" t="s">
        <v>309</v>
      </c>
      <c r="C59" s="23" t="s">
        <v>310</v>
      </c>
      <c r="D59" s="23" t="s">
        <v>169</v>
      </c>
      <c r="E59" s="23" t="s">
        <v>311</v>
      </c>
      <c r="F59" s="23" t="s">
        <v>312</v>
      </c>
    </row>
    <row r="60" spans="1:6" x14ac:dyDescent="0.2">
      <c r="A60" s="23" t="s">
        <v>181</v>
      </c>
      <c r="B60" s="23" t="s">
        <v>313</v>
      </c>
      <c r="C60" s="23" t="s">
        <v>314</v>
      </c>
      <c r="D60" s="23" t="s">
        <v>119</v>
      </c>
      <c r="E60" s="23" t="s">
        <v>315</v>
      </c>
      <c r="F60" s="23" t="s">
        <v>316</v>
      </c>
    </row>
    <row r="61" spans="1:6" x14ac:dyDescent="0.2">
      <c r="A61" s="23" t="s">
        <v>317</v>
      </c>
      <c r="B61" s="23" t="s">
        <v>318</v>
      </c>
      <c r="C61" s="23" t="s">
        <v>319</v>
      </c>
      <c r="D61" s="23" t="s">
        <v>169</v>
      </c>
      <c r="E61" s="23" t="s">
        <v>320</v>
      </c>
      <c r="F61" s="23" t="s">
        <v>321</v>
      </c>
    </row>
    <row r="62" spans="1:6" x14ac:dyDescent="0.2">
      <c r="A62" s="23" t="s">
        <v>322</v>
      </c>
      <c r="B62" s="23" t="s">
        <v>323</v>
      </c>
      <c r="C62" s="23" t="s">
        <v>324</v>
      </c>
      <c r="D62" s="23" t="s">
        <v>39</v>
      </c>
      <c r="E62" s="23" t="s">
        <v>325</v>
      </c>
      <c r="F62" s="23" t="s">
        <v>326</v>
      </c>
    </row>
    <row r="63" spans="1:6" x14ac:dyDescent="0.2">
      <c r="A63" s="23" t="s">
        <v>327</v>
      </c>
      <c r="B63" s="23" t="s">
        <v>261</v>
      </c>
      <c r="C63" s="23" t="s">
        <v>328</v>
      </c>
      <c r="D63" s="23" t="s">
        <v>45</v>
      </c>
      <c r="E63" s="23" t="s">
        <v>329</v>
      </c>
      <c r="F63" s="23" t="s">
        <v>330</v>
      </c>
    </row>
    <row r="64" spans="1:6" x14ac:dyDescent="0.2">
      <c r="A64" s="23" t="s">
        <v>331</v>
      </c>
      <c r="B64" s="23" t="s">
        <v>332</v>
      </c>
      <c r="C64" s="23" t="s">
        <v>333</v>
      </c>
      <c r="D64" s="23" t="s">
        <v>33</v>
      </c>
      <c r="E64" s="23" t="s">
        <v>334</v>
      </c>
      <c r="F64" s="23" t="s">
        <v>335</v>
      </c>
    </row>
    <row r="65" spans="1:6" x14ac:dyDescent="0.2">
      <c r="A65" s="23" t="s">
        <v>336</v>
      </c>
      <c r="B65" s="23" t="s">
        <v>337</v>
      </c>
      <c r="C65" s="23" t="s">
        <v>338</v>
      </c>
      <c r="D65" s="23" t="s">
        <v>33</v>
      </c>
      <c r="E65" s="23" t="s">
        <v>339</v>
      </c>
      <c r="F65" s="23" t="s">
        <v>340</v>
      </c>
    </row>
    <row r="66" spans="1:6" x14ac:dyDescent="0.2">
      <c r="A66" s="23" t="s">
        <v>341</v>
      </c>
      <c r="B66" s="23" t="s">
        <v>342</v>
      </c>
      <c r="C66" s="23" t="s">
        <v>343</v>
      </c>
      <c r="D66" s="23" t="s">
        <v>62</v>
      </c>
      <c r="E66" s="23" t="s">
        <v>344</v>
      </c>
      <c r="F66" s="23" t="s">
        <v>345</v>
      </c>
    </row>
    <row r="67" spans="1:6" x14ac:dyDescent="0.2">
      <c r="A67" s="23" t="s">
        <v>346</v>
      </c>
      <c r="B67" s="23" t="s">
        <v>347</v>
      </c>
      <c r="C67" s="23" t="s">
        <v>348</v>
      </c>
      <c r="D67" s="23" t="s">
        <v>119</v>
      </c>
      <c r="E67" s="23" t="s">
        <v>349</v>
      </c>
      <c r="F67" s="23" t="s">
        <v>350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10985-67AC-4FDF-A50F-DC466207F998}">
  <sheetPr codeName="Sheet4"/>
  <dimension ref="A1:C67"/>
  <sheetViews>
    <sheetView workbookViewId="0">
      <selection activeCell="A5" sqref="A5"/>
    </sheetView>
  </sheetViews>
  <sheetFormatPr defaultRowHeight="14.25" x14ac:dyDescent="0.2"/>
  <cols>
    <col min="2" max="2" width="13" customWidth="1"/>
    <col min="3" max="3" width="11.5" customWidth="1"/>
  </cols>
  <sheetData>
    <row r="1" spans="1:3" x14ac:dyDescent="0.2">
      <c r="A1" s="21" t="s">
        <v>351</v>
      </c>
      <c r="B1" s="21" t="s">
        <v>352</v>
      </c>
      <c r="C1" s="21" t="s">
        <v>353</v>
      </c>
    </row>
    <row r="2" spans="1:3" x14ac:dyDescent="0.2">
      <c r="A2" s="21" t="s">
        <v>354</v>
      </c>
      <c r="B2" s="21" t="s">
        <v>355</v>
      </c>
      <c r="C2" s="21">
        <v>1064.02</v>
      </c>
    </row>
    <row r="3" spans="1:3" x14ac:dyDescent="0.2">
      <c r="A3" s="21" t="s">
        <v>356</v>
      </c>
      <c r="B3" s="21" t="s">
        <v>357</v>
      </c>
      <c r="C3" s="21">
        <v>993.12</v>
      </c>
    </row>
    <row r="4" spans="1:3" x14ac:dyDescent="0.2">
      <c r="A4" s="21" t="s">
        <v>358</v>
      </c>
      <c r="B4" s="21" t="s">
        <v>359</v>
      </c>
      <c r="C4" s="21">
        <v>1096.04</v>
      </c>
    </row>
    <row r="5" spans="1:3" x14ac:dyDescent="0.2">
      <c r="A5" s="21" t="s">
        <v>360</v>
      </c>
      <c r="B5" s="21" t="s">
        <v>361</v>
      </c>
      <c r="C5" s="21">
        <v>201.38</v>
      </c>
    </row>
    <row r="6" spans="1:3" x14ac:dyDescent="0.2">
      <c r="A6" s="21" t="s">
        <v>362</v>
      </c>
      <c r="B6" s="21" t="s">
        <v>363</v>
      </c>
      <c r="C6" s="21">
        <v>1233.8599999999999</v>
      </c>
    </row>
    <row r="7" spans="1:3" x14ac:dyDescent="0.2">
      <c r="A7" s="21" t="s">
        <v>364</v>
      </c>
      <c r="B7" s="21" t="s">
        <v>365</v>
      </c>
      <c r="C7" s="21">
        <v>1024.45</v>
      </c>
    </row>
    <row r="8" spans="1:3" x14ac:dyDescent="0.2">
      <c r="A8" s="21" t="s">
        <v>366</v>
      </c>
      <c r="B8" s="21" t="s">
        <v>367</v>
      </c>
      <c r="C8" s="21">
        <v>577.94000000000005</v>
      </c>
    </row>
    <row r="9" spans="1:3" x14ac:dyDescent="0.2">
      <c r="A9" s="21" t="s">
        <v>368</v>
      </c>
      <c r="B9" s="21" t="s">
        <v>369</v>
      </c>
      <c r="C9" s="21">
        <v>259.18</v>
      </c>
    </row>
    <row r="10" spans="1:3" x14ac:dyDescent="0.2">
      <c r="A10" s="21" t="s">
        <v>370</v>
      </c>
      <c r="B10" s="21" t="s">
        <v>371</v>
      </c>
      <c r="C10" s="21">
        <v>1332.45</v>
      </c>
    </row>
    <row r="11" spans="1:3" x14ac:dyDescent="0.2">
      <c r="A11" s="21" t="s">
        <v>372</v>
      </c>
      <c r="B11" s="21" t="s">
        <v>373</v>
      </c>
      <c r="C11" s="21">
        <v>1471.17</v>
      </c>
    </row>
    <row r="12" spans="1:3" x14ac:dyDescent="0.2">
      <c r="A12" s="21" t="s">
        <v>374</v>
      </c>
      <c r="B12" s="21" t="s">
        <v>375</v>
      </c>
      <c r="C12" s="21">
        <v>390.29</v>
      </c>
    </row>
    <row r="13" spans="1:3" x14ac:dyDescent="0.2">
      <c r="A13" s="21" t="s">
        <v>376</v>
      </c>
      <c r="B13" s="21" t="s">
        <v>377</v>
      </c>
      <c r="C13" s="21">
        <v>229.83</v>
      </c>
    </row>
    <row r="14" spans="1:3" x14ac:dyDescent="0.2">
      <c r="A14" s="21" t="s">
        <v>378</v>
      </c>
      <c r="B14" s="21" t="s">
        <v>379</v>
      </c>
      <c r="C14" s="21">
        <v>1433.83</v>
      </c>
    </row>
    <row r="15" spans="1:3" x14ac:dyDescent="0.2">
      <c r="A15" s="21" t="s">
        <v>380</v>
      </c>
      <c r="B15" s="21" t="s">
        <v>381</v>
      </c>
      <c r="C15" s="21">
        <v>416.38</v>
      </c>
    </row>
    <row r="16" spans="1:3" x14ac:dyDescent="0.2">
      <c r="A16" s="21" t="s">
        <v>382</v>
      </c>
      <c r="B16" s="21" t="s">
        <v>383</v>
      </c>
      <c r="C16" s="21">
        <v>180.16</v>
      </c>
    </row>
    <row r="17" spans="1:3" x14ac:dyDescent="0.2">
      <c r="A17" s="21" t="s">
        <v>384</v>
      </c>
      <c r="B17" s="21" t="s">
        <v>385</v>
      </c>
      <c r="C17" s="21">
        <v>499.2</v>
      </c>
    </row>
    <row r="18" spans="1:3" x14ac:dyDescent="0.2">
      <c r="A18" s="21" t="s">
        <v>386</v>
      </c>
      <c r="B18" s="21" t="s">
        <v>387</v>
      </c>
      <c r="C18" s="21">
        <v>371.72</v>
      </c>
    </row>
    <row r="19" spans="1:3" x14ac:dyDescent="0.2">
      <c r="A19" s="21" t="s">
        <v>388</v>
      </c>
      <c r="B19" s="21" t="s">
        <v>355</v>
      </c>
      <c r="C19" s="21">
        <v>951.5</v>
      </c>
    </row>
    <row r="20" spans="1:3" x14ac:dyDescent="0.2">
      <c r="A20" s="21" t="s">
        <v>389</v>
      </c>
      <c r="B20" s="21" t="s">
        <v>390</v>
      </c>
      <c r="C20" s="21">
        <v>565.29999999999995</v>
      </c>
    </row>
    <row r="21" spans="1:3" x14ac:dyDescent="0.2">
      <c r="A21" s="21" t="s">
        <v>391</v>
      </c>
      <c r="B21" s="21" t="s">
        <v>381</v>
      </c>
      <c r="C21" s="21">
        <v>1477.96</v>
      </c>
    </row>
    <row r="22" spans="1:3" x14ac:dyDescent="0.2">
      <c r="A22" s="21" t="s">
        <v>392</v>
      </c>
      <c r="B22" s="21" t="s">
        <v>393</v>
      </c>
      <c r="C22" s="21">
        <v>701</v>
      </c>
    </row>
    <row r="23" spans="1:3" x14ac:dyDescent="0.2">
      <c r="A23" s="21" t="s">
        <v>394</v>
      </c>
      <c r="B23" s="21" t="s">
        <v>395</v>
      </c>
      <c r="C23" s="21">
        <v>321.66000000000003</v>
      </c>
    </row>
    <row r="24" spans="1:3" x14ac:dyDescent="0.2">
      <c r="A24" s="21" t="s">
        <v>396</v>
      </c>
      <c r="B24" s="21" t="s">
        <v>397</v>
      </c>
      <c r="C24" s="21">
        <v>330.23</v>
      </c>
    </row>
    <row r="25" spans="1:3" x14ac:dyDescent="0.2">
      <c r="A25" s="21" t="s">
        <v>398</v>
      </c>
      <c r="B25" s="21" t="s">
        <v>399</v>
      </c>
      <c r="C25" s="21">
        <v>117.52</v>
      </c>
    </row>
    <row r="26" spans="1:3" x14ac:dyDescent="0.2">
      <c r="A26" s="21" t="s">
        <v>400</v>
      </c>
      <c r="B26" s="21" t="s">
        <v>363</v>
      </c>
      <c r="C26" s="21">
        <v>1379.79</v>
      </c>
    </row>
    <row r="27" spans="1:3" x14ac:dyDescent="0.2">
      <c r="A27" s="21" t="s">
        <v>401</v>
      </c>
      <c r="B27" s="21" t="s">
        <v>402</v>
      </c>
      <c r="C27" s="21">
        <v>715.81</v>
      </c>
    </row>
    <row r="28" spans="1:3" x14ac:dyDescent="0.2">
      <c r="A28" s="21" t="s">
        <v>403</v>
      </c>
      <c r="B28" s="21" t="s">
        <v>404</v>
      </c>
      <c r="C28" s="21">
        <v>1178.3</v>
      </c>
    </row>
    <row r="29" spans="1:3" x14ac:dyDescent="0.2">
      <c r="A29" s="21" t="s">
        <v>405</v>
      </c>
      <c r="B29" s="21" t="s">
        <v>381</v>
      </c>
      <c r="C29" s="21">
        <v>1003.82</v>
      </c>
    </row>
    <row r="30" spans="1:3" x14ac:dyDescent="0.2">
      <c r="A30" s="21" t="s">
        <v>406</v>
      </c>
      <c r="B30" s="21" t="s">
        <v>369</v>
      </c>
      <c r="C30" s="21">
        <v>112.37</v>
      </c>
    </row>
    <row r="31" spans="1:3" x14ac:dyDescent="0.2">
      <c r="A31" s="21" t="s">
        <v>407</v>
      </c>
      <c r="B31" s="21" t="s">
        <v>361</v>
      </c>
      <c r="C31" s="21">
        <v>677.85</v>
      </c>
    </row>
    <row r="32" spans="1:3" x14ac:dyDescent="0.2">
      <c r="A32" s="21" t="s">
        <v>408</v>
      </c>
      <c r="B32" s="21" t="s">
        <v>409</v>
      </c>
      <c r="C32" s="21">
        <v>897.71</v>
      </c>
    </row>
    <row r="33" spans="1:3" x14ac:dyDescent="0.2">
      <c r="A33" s="21" t="s">
        <v>410</v>
      </c>
      <c r="B33" s="21" t="s">
        <v>411</v>
      </c>
      <c r="C33" s="21">
        <v>1432.7</v>
      </c>
    </row>
    <row r="34" spans="1:3" x14ac:dyDescent="0.2">
      <c r="A34" s="21" t="s">
        <v>412</v>
      </c>
      <c r="B34" s="21" t="s">
        <v>413</v>
      </c>
      <c r="C34" s="21">
        <v>892.78</v>
      </c>
    </row>
    <row r="35" spans="1:3" x14ac:dyDescent="0.2">
      <c r="A35" s="21" t="s">
        <v>414</v>
      </c>
      <c r="B35" s="21" t="s">
        <v>415</v>
      </c>
      <c r="C35" s="21">
        <v>730.51</v>
      </c>
    </row>
    <row r="36" spans="1:3" x14ac:dyDescent="0.2">
      <c r="A36" s="21" t="s">
        <v>416</v>
      </c>
      <c r="B36" s="21" t="s">
        <v>417</v>
      </c>
      <c r="C36" s="21">
        <v>853.8</v>
      </c>
    </row>
    <row r="37" spans="1:3" x14ac:dyDescent="0.2">
      <c r="A37" s="21" t="s">
        <v>418</v>
      </c>
      <c r="B37" s="21" t="s">
        <v>419</v>
      </c>
      <c r="C37" s="21">
        <v>947.95</v>
      </c>
    </row>
    <row r="38" spans="1:3" x14ac:dyDescent="0.2">
      <c r="A38" s="21" t="s">
        <v>420</v>
      </c>
      <c r="B38" s="21" t="s">
        <v>421</v>
      </c>
      <c r="C38" s="21">
        <v>1107.8699999999999</v>
      </c>
    </row>
    <row r="39" spans="1:3" x14ac:dyDescent="0.2">
      <c r="A39" s="21" t="s">
        <v>422</v>
      </c>
      <c r="B39" s="21" t="s">
        <v>423</v>
      </c>
      <c r="C39" s="21">
        <v>582.84</v>
      </c>
    </row>
    <row r="40" spans="1:3" x14ac:dyDescent="0.2">
      <c r="A40" s="21" t="s">
        <v>424</v>
      </c>
      <c r="B40" s="21" t="s">
        <v>425</v>
      </c>
      <c r="C40" s="21">
        <v>1454.04</v>
      </c>
    </row>
    <row r="41" spans="1:3" x14ac:dyDescent="0.2">
      <c r="A41" s="21" t="s">
        <v>426</v>
      </c>
      <c r="B41" s="21" t="s">
        <v>427</v>
      </c>
      <c r="C41" s="21">
        <v>1103.8</v>
      </c>
    </row>
    <row r="42" spans="1:3" x14ac:dyDescent="0.2">
      <c r="A42" s="21" t="s">
        <v>428</v>
      </c>
      <c r="B42" s="21" t="s">
        <v>402</v>
      </c>
      <c r="C42" s="21">
        <v>604.58000000000004</v>
      </c>
    </row>
    <row r="43" spans="1:3" x14ac:dyDescent="0.2">
      <c r="A43" s="21" t="s">
        <v>429</v>
      </c>
      <c r="B43" s="21" t="s">
        <v>430</v>
      </c>
      <c r="C43" s="21">
        <v>137.72</v>
      </c>
    </row>
    <row r="44" spans="1:3" x14ac:dyDescent="0.2">
      <c r="A44" s="21" t="s">
        <v>431</v>
      </c>
      <c r="B44" s="21" t="s">
        <v>432</v>
      </c>
      <c r="C44" s="21">
        <v>983.73</v>
      </c>
    </row>
    <row r="45" spans="1:3" x14ac:dyDescent="0.2">
      <c r="A45" s="21" t="s">
        <v>433</v>
      </c>
      <c r="B45" s="21" t="s">
        <v>397</v>
      </c>
      <c r="C45" s="21">
        <v>973.29</v>
      </c>
    </row>
    <row r="46" spans="1:3" x14ac:dyDescent="0.2">
      <c r="A46" s="21" t="s">
        <v>434</v>
      </c>
      <c r="B46" s="21" t="s">
        <v>419</v>
      </c>
      <c r="C46" s="21">
        <v>1225.3399999999999</v>
      </c>
    </row>
    <row r="47" spans="1:3" x14ac:dyDescent="0.2">
      <c r="A47" s="21" t="s">
        <v>435</v>
      </c>
      <c r="B47" s="21" t="s">
        <v>436</v>
      </c>
      <c r="C47" s="21">
        <v>330.33</v>
      </c>
    </row>
    <row r="48" spans="1:3" x14ac:dyDescent="0.2">
      <c r="A48" s="21" t="s">
        <v>437</v>
      </c>
      <c r="B48" s="21" t="s">
        <v>387</v>
      </c>
      <c r="C48" s="21">
        <v>358.95</v>
      </c>
    </row>
    <row r="49" spans="1:3" x14ac:dyDescent="0.2">
      <c r="A49" s="21" t="s">
        <v>438</v>
      </c>
      <c r="B49" s="21" t="s">
        <v>439</v>
      </c>
      <c r="C49" s="21">
        <v>1210.22</v>
      </c>
    </row>
    <row r="50" spans="1:3" x14ac:dyDescent="0.2">
      <c r="A50" s="21" t="s">
        <v>440</v>
      </c>
      <c r="B50" s="21" t="s">
        <v>441</v>
      </c>
      <c r="C50" s="21">
        <v>1322.01</v>
      </c>
    </row>
    <row r="51" spans="1:3" x14ac:dyDescent="0.2">
      <c r="A51" s="21" t="s">
        <v>442</v>
      </c>
      <c r="B51" s="21" t="s">
        <v>443</v>
      </c>
      <c r="C51" s="21">
        <v>1352.05</v>
      </c>
    </row>
    <row r="52" spans="1:3" x14ac:dyDescent="0.2">
      <c r="A52" s="21" t="s">
        <v>444</v>
      </c>
      <c r="B52" s="21" t="s">
        <v>361</v>
      </c>
      <c r="C52" s="21">
        <v>1013.39</v>
      </c>
    </row>
    <row r="53" spans="1:3" x14ac:dyDescent="0.2">
      <c r="A53" s="21" t="s">
        <v>445</v>
      </c>
      <c r="B53" s="21" t="s">
        <v>427</v>
      </c>
      <c r="C53" s="21">
        <v>348.42</v>
      </c>
    </row>
    <row r="54" spans="1:3" x14ac:dyDescent="0.2">
      <c r="A54" s="21" t="s">
        <v>446</v>
      </c>
      <c r="B54" s="21" t="s">
        <v>357</v>
      </c>
      <c r="C54" s="21">
        <v>33.47</v>
      </c>
    </row>
    <row r="55" spans="1:3" x14ac:dyDescent="0.2">
      <c r="A55" s="21" t="s">
        <v>447</v>
      </c>
      <c r="B55" s="21" t="s">
        <v>448</v>
      </c>
      <c r="C55" s="21">
        <v>519.07000000000005</v>
      </c>
    </row>
    <row r="56" spans="1:3" x14ac:dyDescent="0.2">
      <c r="A56" s="21" t="s">
        <v>449</v>
      </c>
      <c r="B56" s="21" t="s">
        <v>387</v>
      </c>
      <c r="C56" s="21">
        <v>658.58</v>
      </c>
    </row>
    <row r="57" spans="1:3" x14ac:dyDescent="0.2">
      <c r="A57" s="21" t="s">
        <v>450</v>
      </c>
      <c r="B57" s="21" t="s">
        <v>451</v>
      </c>
      <c r="C57" s="21">
        <v>826.46</v>
      </c>
    </row>
    <row r="58" spans="1:3" x14ac:dyDescent="0.2">
      <c r="A58" s="21" t="s">
        <v>452</v>
      </c>
      <c r="B58" s="21" t="s">
        <v>453</v>
      </c>
      <c r="C58" s="21">
        <v>1202.31</v>
      </c>
    </row>
    <row r="59" spans="1:3" x14ac:dyDescent="0.2">
      <c r="A59" s="21" t="s">
        <v>454</v>
      </c>
      <c r="B59" s="21" t="s">
        <v>453</v>
      </c>
      <c r="C59" s="21">
        <v>494.8</v>
      </c>
    </row>
    <row r="60" spans="1:3" x14ac:dyDescent="0.2">
      <c r="A60" s="21" t="s">
        <v>455</v>
      </c>
      <c r="B60" s="21" t="s">
        <v>456</v>
      </c>
      <c r="C60" s="21">
        <v>308.36</v>
      </c>
    </row>
    <row r="61" spans="1:3" x14ac:dyDescent="0.2">
      <c r="A61" s="21" t="s">
        <v>457</v>
      </c>
      <c r="B61" s="21" t="s">
        <v>375</v>
      </c>
      <c r="C61" s="21">
        <v>307.60000000000002</v>
      </c>
    </row>
    <row r="62" spans="1:3" x14ac:dyDescent="0.2">
      <c r="A62" s="21" t="s">
        <v>458</v>
      </c>
      <c r="B62" s="21" t="s">
        <v>459</v>
      </c>
      <c r="C62" s="21">
        <v>406.23</v>
      </c>
    </row>
    <row r="63" spans="1:3" x14ac:dyDescent="0.2">
      <c r="A63" s="21" t="s">
        <v>460</v>
      </c>
      <c r="B63" s="21" t="s">
        <v>461</v>
      </c>
      <c r="C63" s="21">
        <v>242.32</v>
      </c>
    </row>
    <row r="64" spans="1:3" x14ac:dyDescent="0.2">
      <c r="A64" s="21" t="s">
        <v>462</v>
      </c>
      <c r="B64" s="21" t="s">
        <v>463</v>
      </c>
      <c r="C64" s="21">
        <v>200.72</v>
      </c>
    </row>
    <row r="65" spans="1:3" x14ac:dyDescent="0.2">
      <c r="A65" s="21" t="s">
        <v>464</v>
      </c>
      <c r="B65" s="21" t="s">
        <v>465</v>
      </c>
      <c r="C65" s="21">
        <v>1473.34</v>
      </c>
    </row>
    <row r="66" spans="1:3" x14ac:dyDescent="0.2">
      <c r="A66" s="21" t="s">
        <v>466</v>
      </c>
      <c r="B66" s="21" t="s">
        <v>359</v>
      </c>
      <c r="C66" s="21">
        <v>1457.54</v>
      </c>
    </row>
    <row r="67" spans="1:3" x14ac:dyDescent="0.2">
      <c r="A67" s="21" t="s">
        <v>467</v>
      </c>
      <c r="B67" s="21" t="s">
        <v>379</v>
      </c>
      <c r="C67" s="21">
        <v>207.05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01D3D-CBA0-4827-9E57-3C440EE5D8CC}">
  <sheetPr codeName="Sheet5"/>
  <dimension ref="A3:C4"/>
  <sheetViews>
    <sheetView workbookViewId="0">
      <selection activeCell="C29" sqref="C29"/>
    </sheetView>
  </sheetViews>
  <sheetFormatPr defaultRowHeight="14.25" x14ac:dyDescent="0.2"/>
  <cols>
    <col min="1" max="1" width="13.5" customWidth="1"/>
    <col min="2" max="2" width="13.375" customWidth="1"/>
    <col min="3" max="3" width="10.25" bestFit="1" customWidth="1"/>
  </cols>
  <sheetData>
    <row r="3" spans="1:3" ht="15" x14ac:dyDescent="0.25">
      <c r="A3" s="31" t="s">
        <v>468</v>
      </c>
      <c r="B3" s="31" t="s">
        <v>351</v>
      </c>
      <c r="C3" s="31" t="s">
        <v>471</v>
      </c>
    </row>
    <row r="4" spans="1:3" ht="15" x14ac:dyDescent="0.25">
      <c r="A4" s="34">
        <v>8</v>
      </c>
      <c r="B4" s="34" t="s">
        <v>398</v>
      </c>
      <c r="C4" s="34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FindInvoice</vt:lpstr>
      <vt:lpstr>Invoice</vt:lpstr>
      <vt:lpstr>Invoice Detail</vt:lpstr>
      <vt:lpstr>Customers</vt:lpstr>
      <vt:lpstr>Product</vt:lpstr>
      <vt:lpstr>Pt-Invoice Analysis</vt:lpstr>
      <vt:lpstr>FindInvoice!btCustomer</vt:lpstr>
      <vt:lpstr>btCustomer</vt:lpstr>
      <vt:lpstr>FindInvoice!ColumnTitle1</vt:lpstr>
      <vt:lpstr>ColumnTitle1</vt:lpstr>
      <vt:lpstr>FindInvoice!ColumnTitleRegion1..B11.1</vt:lpstr>
      <vt:lpstr>ColumnTitleRegion1..B11.1</vt:lpstr>
      <vt:lpstr>FindInvoice!Company_Name</vt:lpstr>
      <vt:lpstr>Company_Name</vt:lpstr>
      <vt:lpstr>FindInvoice!Print_Titles</vt:lpstr>
      <vt:lpstr>Invoice!Print_Titles</vt:lpstr>
      <vt:lpstr>FindInvoice!RowTitleRegion1..D5</vt:lpstr>
      <vt:lpstr>RowTitleRegion1..D5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2026-05-01T05:25:42Z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